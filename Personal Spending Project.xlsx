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WINDOWS\Downloads\"/>
    </mc:Choice>
  </mc:AlternateContent>
  <xr:revisionPtr revIDLastSave="0" documentId="13_ncr:1_{90BEF8C3-7B29-456A-BDAA-1A160E480898}" xr6:coauthVersionLast="47" xr6:coauthVersionMax="47" xr10:uidLastSave="{00000000-0000-0000-0000-000000000000}"/>
  <bookViews>
    <workbookView xWindow="-110" yWindow="-110" windowWidth="19420" windowHeight="10300" firstSheet="2" activeTab="5" xr2:uid="{9BDA3785-B2E1-471F-8EC4-1861B4B2DCF3}"/>
  </bookViews>
  <sheets>
    <sheet name="Personal spending" sheetId="2" r:id="rId1"/>
    <sheet name="Category by month Year" sheetId="8" r:id="rId2"/>
    <sheet name="MerchantMapping" sheetId="4" r:id="rId3"/>
    <sheet name="Pivot Tables" sheetId="5" r:id="rId4"/>
    <sheet name="Income Sparklines" sheetId="3" r:id="rId5"/>
    <sheet name="Dashboard" sheetId="7" r:id="rId6"/>
  </sheets>
  <definedNames>
    <definedName name="ExternalData_1" localSheetId="0" hidden="1">'Personal spending'!$A$1:$I$220</definedName>
    <definedName name="NativeTimeline_Date">#N/A</definedName>
    <definedName name="Slicer_Category">#N/A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7" l="1"/>
  <c r="A4" i="7"/>
  <c r="I22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B2" i="2"/>
  <c r="B3" i="2"/>
  <c r="B4" i="2"/>
  <c r="B5" i="2"/>
  <c r="B9" i="2"/>
  <c r="B10" i="2"/>
  <c r="B6" i="2"/>
  <c r="B8" i="2"/>
  <c r="B7" i="2"/>
  <c r="B12" i="2"/>
  <c r="B11" i="2"/>
  <c r="B14" i="2"/>
  <c r="B15" i="2"/>
  <c r="B13" i="2"/>
  <c r="B17" i="2"/>
  <c r="B16" i="2"/>
  <c r="B22" i="2"/>
  <c r="B20" i="2"/>
  <c r="B21" i="2"/>
  <c r="B18" i="2"/>
  <c r="B19" i="2"/>
  <c r="B23" i="2"/>
  <c r="B24" i="2"/>
  <c r="B27" i="2"/>
  <c r="B25" i="2"/>
  <c r="B26" i="2"/>
  <c r="B28" i="2"/>
  <c r="B29" i="2"/>
  <c r="B30" i="2"/>
  <c r="B31" i="2"/>
  <c r="B32" i="2"/>
  <c r="B33" i="2"/>
  <c r="B35" i="2"/>
  <c r="B36" i="2"/>
  <c r="B34" i="2"/>
  <c r="B40" i="2"/>
  <c r="B38" i="2"/>
  <c r="B39" i="2"/>
  <c r="B37" i="2"/>
  <c r="B43" i="2"/>
  <c r="B44" i="2"/>
  <c r="B45" i="2"/>
  <c r="B41" i="2"/>
  <c r="B42" i="2"/>
  <c r="B46" i="2"/>
  <c r="B51" i="2"/>
  <c r="B48" i="2"/>
  <c r="B49" i="2"/>
  <c r="B50" i="2"/>
  <c r="B47" i="2"/>
  <c r="B52" i="2"/>
  <c r="B54" i="2"/>
  <c r="B53" i="2"/>
  <c r="B55" i="2"/>
  <c r="B58" i="2"/>
  <c r="B56" i="2"/>
  <c r="B57" i="2"/>
  <c r="B59" i="2"/>
  <c r="B60" i="2"/>
  <c r="B61" i="2"/>
  <c r="B62" i="2"/>
  <c r="B65" i="2"/>
  <c r="B63" i="2"/>
  <c r="B64" i="2"/>
  <c r="B66" i="2"/>
  <c r="B67" i="2"/>
  <c r="B68" i="2"/>
  <c r="B69" i="2"/>
  <c r="B70" i="2"/>
  <c r="B71" i="2"/>
  <c r="B72" i="2"/>
  <c r="B73" i="2"/>
  <c r="B74" i="2"/>
  <c r="B77" i="2"/>
  <c r="B76" i="2"/>
  <c r="B75" i="2"/>
  <c r="B78" i="2"/>
  <c r="B79" i="2"/>
  <c r="B82" i="2"/>
  <c r="B81" i="2"/>
  <c r="B80" i="2"/>
  <c r="B83" i="2"/>
  <c r="B84" i="2"/>
  <c r="B85" i="2"/>
  <c r="B86" i="2"/>
  <c r="B87" i="2"/>
  <c r="B90" i="2"/>
  <c r="B89" i="2"/>
  <c r="B88" i="2"/>
  <c r="B91" i="2"/>
  <c r="B92" i="2"/>
  <c r="B93" i="2"/>
  <c r="B94" i="2"/>
  <c r="B95" i="2"/>
  <c r="B96" i="2"/>
  <c r="B97" i="2"/>
  <c r="B98" i="2"/>
  <c r="B99" i="2"/>
  <c r="B101" i="2"/>
  <c r="B100" i="2"/>
  <c r="B102" i="2"/>
  <c r="B104" i="2"/>
  <c r="B103" i="2"/>
  <c r="B105" i="2"/>
  <c r="B106" i="2"/>
  <c r="B107" i="2"/>
  <c r="B108" i="2"/>
  <c r="B110" i="2"/>
  <c r="B109" i="2"/>
  <c r="B112" i="2"/>
  <c r="B111" i="2"/>
  <c r="B113" i="2"/>
  <c r="B114" i="2"/>
  <c r="B115" i="2"/>
  <c r="B116" i="2"/>
  <c r="B117" i="2"/>
  <c r="B118" i="2"/>
  <c r="B119" i="2"/>
  <c r="B120" i="2"/>
  <c r="B123" i="2"/>
  <c r="B121" i="2"/>
  <c r="B122" i="2"/>
  <c r="B124" i="2"/>
  <c r="B125" i="2"/>
  <c r="B127" i="2"/>
  <c r="B126" i="2"/>
  <c r="B128" i="2"/>
  <c r="B129" i="2"/>
  <c r="B130" i="2"/>
  <c r="B131" i="2"/>
  <c r="B132" i="2"/>
  <c r="B133" i="2"/>
  <c r="B134" i="2"/>
  <c r="B136" i="2"/>
  <c r="B135" i="2"/>
  <c r="B137" i="2"/>
  <c r="B138" i="2"/>
  <c r="B139" i="2"/>
  <c r="B140" i="2"/>
  <c r="B141" i="2"/>
  <c r="B142" i="2"/>
  <c r="B143" i="2"/>
  <c r="B144" i="2"/>
  <c r="B145" i="2"/>
  <c r="B146" i="2"/>
  <c r="B147" i="2"/>
  <c r="B148" i="2"/>
  <c r="B149" i="2"/>
  <c r="B150" i="2"/>
  <c r="B151" i="2"/>
  <c r="B152" i="2"/>
  <c r="B153" i="2"/>
  <c r="B154" i="2"/>
  <c r="B156" i="2"/>
  <c r="B155" i="2"/>
  <c r="B158" i="2"/>
  <c r="B157" i="2"/>
  <c r="B160" i="2"/>
  <c r="B159" i="2"/>
  <c r="B161" i="2"/>
  <c r="B162" i="2"/>
  <c r="B163" i="2"/>
  <c r="B164" i="2"/>
  <c r="B165" i="2"/>
  <c r="B167" i="2"/>
  <c r="B166" i="2"/>
  <c r="B168" i="2"/>
  <c r="B169" i="2"/>
  <c r="B170" i="2"/>
  <c r="B173" i="2"/>
  <c r="B171" i="2"/>
  <c r="B172" i="2"/>
  <c r="B174" i="2"/>
  <c r="B175" i="2"/>
  <c r="B176" i="2"/>
  <c r="B178" i="2"/>
  <c r="B177" i="2"/>
  <c r="B179" i="2"/>
  <c r="B180" i="2"/>
  <c r="B181" i="2"/>
  <c r="B182" i="2"/>
  <c r="B184" i="2"/>
  <c r="B183" i="2"/>
  <c r="B185" i="2"/>
  <c r="B186" i="2"/>
  <c r="B187" i="2"/>
  <c r="B188" i="2"/>
  <c r="B189" i="2"/>
  <c r="B190" i="2"/>
  <c r="B191" i="2"/>
  <c r="B192" i="2"/>
  <c r="B193" i="2"/>
  <c r="B194" i="2"/>
  <c r="B196" i="2"/>
  <c r="B195" i="2"/>
  <c r="B197" i="2"/>
  <c r="B198" i="2"/>
  <c r="B199" i="2"/>
  <c r="B200" i="2"/>
  <c r="B201" i="2"/>
  <c r="B202" i="2"/>
  <c r="B203" i="2"/>
  <c r="B204" i="2"/>
  <c r="B205" i="2"/>
  <c r="B206" i="2"/>
  <c r="B207" i="2"/>
  <c r="B208" i="2"/>
  <c r="B209" i="2"/>
  <c r="B210" i="2"/>
  <c r="B212" i="2"/>
  <c r="B211" i="2"/>
  <c r="B213" i="2"/>
  <c r="B214" i="2"/>
  <c r="B215" i="2"/>
  <c r="B216" i="2"/>
  <c r="B217" i="2"/>
  <c r="B220" i="2"/>
  <c r="B218" i="2"/>
  <c r="B219" i="2"/>
  <c r="J2" i="2"/>
  <c r="J3" i="2"/>
  <c r="J4" i="2"/>
  <c r="J5" i="2"/>
  <c r="J9" i="2"/>
  <c r="J10" i="2"/>
  <c r="J6" i="2"/>
  <c r="J8" i="2"/>
  <c r="J7" i="2"/>
  <c r="J12" i="2"/>
  <c r="J11" i="2"/>
  <c r="J14" i="2"/>
  <c r="J15" i="2"/>
  <c r="J13" i="2"/>
  <c r="J17" i="2"/>
  <c r="J16" i="2"/>
  <c r="J22" i="2"/>
  <c r="J20" i="2"/>
  <c r="J21" i="2"/>
  <c r="J18" i="2"/>
  <c r="J19" i="2"/>
  <c r="J23" i="2"/>
  <c r="J24" i="2"/>
  <c r="J27" i="2"/>
  <c r="J25" i="2"/>
  <c r="J26" i="2"/>
  <c r="J28" i="2"/>
  <c r="J29" i="2"/>
  <c r="J30" i="2"/>
  <c r="J31" i="2"/>
  <c r="J32" i="2"/>
  <c r="J33" i="2"/>
  <c r="J35" i="2"/>
  <c r="J36" i="2"/>
  <c r="J34" i="2"/>
  <c r="J40" i="2"/>
  <c r="J38" i="2"/>
  <c r="J39" i="2"/>
  <c r="J37" i="2"/>
  <c r="J43" i="2"/>
  <c r="J44" i="2"/>
  <c r="J45" i="2"/>
  <c r="J41" i="2"/>
  <c r="J42" i="2"/>
  <c r="J46" i="2"/>
  <c r="J51" i="2"/>
  <c r="J48" i="2"/>
  <c r="J49" i="2"/>
  <c r="J50" i="2"/>
  <c r="J47" i="2"/>
  <c r="J52" i="2"/>
  <c r="J54" i="2"/>
  <c r="J53" i="2"/>
  <c r="J55" i="2"/>
  <c r="J58" i="2"/>
  <c r="J56" i="2"/>
  <c r="J57" i="2"/>
  <c r="J59" i="2"/>
  <c r="J60" i="2"/>
  <c r="J61" i="2"/>
  <c r="J62" i="2"/>
  <c r="J65" i="2"/>
  <c r="J63" i="2"/>
  <c r="J64" i="2"/>
  <c r="J66" i="2"/>
  <c r="J67" i="2"/>
  <c r="J68" i="2"/>
  <c r="J69" i="2"/>
  <c r="J70" i="2"/>
  <c r="J71" i="2"/>
  <c r="J72" i="2"/>
  <c r="J73" i="2"/>
  <c r="J74" i="2"/>
  <c r="J77" i="2"/>
  <c r="J76" i="2"/>
  <c r="J75" i="2"/>
  <c r="J78" i="2"/>
  <c r="J79" i="2"/>
  <c r="J82" i="2"/>
  <c r="J81" i="2"/>
  <c r="J80" i="2"/>
  <c r="J83" i="2"/>
  <c r="J84" i="2"/>
  <c r="J85" i="2"/>
  <c r="J86" i="2"/>
  <c r="J87" i="2"/>
  <c r="J90" i="2"/>
  <c r="J89" i="2"/>
  <c r="J88" i="2"/>
  <c r="J91" i="2"/>
  <c r="J92" i="2"/>
  <c r="J93" i="2"/>
  <c r="J94" i="2"/>
  <c r="J95" i="2"/>
  <c r="J96" i="2"/>
  <c r="J97" i="2"/>
  <c r="J98" i="2"/>
  <c r="J99" i="2"/>
  <c r="J101" i="2"/>
  <c r="J100" i="2"/>
  <c r="J102" i="2"/>
  <c r="J104" i="2"/>
  <c r="J103" i="2"/>
  <c r="J105" i="2"/>
  <c r="J106" i="2"/>
  <c r="J107" i="2"/>
  <c r="J108" i="2"/>
  <c r="J110" i="2"/>
  <c r="J109" i="2"/>
  <c r="J112" i="2"/>
  <c r="J111" i="2"/>
  <c r="J113" i="2"/>
  <c r="J114" i="2"/>
  <c r="J115" i="2"/>
  <c r="J116" i="2"/>
  <c r="J117" i="2"/>
  <c r="J118" i="2"/>
  <c r="J119" i="2"/>
  <c r="J120" i="2"/>
  <c r="J123" i="2"/>
  <c r="J121" i="2"/>
  <c r="J122" i="2"/>
  <c r="J124" i="2"/>
  <c r="J125" i="2"/>
  <c r="J127" i="2"/>
  <c r="J126" i="2"/>
  <c r="J128" i="2"/>
  <c r="J129" i="2"/>
  <c r="J130" i="2"/>
  <c r="J131" i="2"/>
  <c r="J132" i="2"/>
  <c r="J133" i="2"/>
  <c r="J134" i="2"/>
  <c r="J136" i="2"/>
  <c r="J135" i="2"/>
  <c r="J137" i="2"/>
  <c r="J138" i="2"/>
  <c r="J139" i="2"/>
  <c r="J140" i="2"/>
  <c r="J141" i="2"/>
  <c r="J142" i="2"/>
  <c r="J143" i="2"/>
  <c r="J144" i="2"/>
  <c r="J145" i="2"/>
  <c r="J146" i="2"/>
  <c r="J147" i="2"/>
  <c r="J148" i="2"/>
  <c r="J149" i="2"/>
  <c r="J150" i="2"/>
  <c r="J151" i="2"/>
  <c r="J152" i="2"/>
  <c r="J153" i="2"/>
  <c r="J154" i="2"/>
  <c r="J156" i="2"/>
  <c r="J155" i="2"/>
  <c r="J158" i="2"/>
  <c r="J157" i="2"/>
  <c r="J160" i="2"/>
  <c r="J159" i="2"/>
  <c r="J161" i="2"/>
  <c r="J162" i="2"/>
  <c r="J163" i="2"/>
  <c r="J164" i="2"/>
  <c r="J165" i="2"/>
  <c r="J167" i="2"/>
  <c r="J166" i="2"/>
  <c r="J168" i="2"/>
  <c r="J169" i="2"/>
  <c r="J170" i="2"/>
  <c r="J173" i="2"/>
  <c r="J171" i="2"/>
  <c r="J172" i="2"/>
  <c r="J174" i="2"/>
  <c r="J175" i="2"/>
  <c r="J176" i="2"/>
  <c r="J178" i="2"/>
  <c r="J177" i="2"/>
  <c r="J179" i="2"/>
  <c r="J180" i="2"/>
  <c r="J181" i="2"/>
  <c r="J182" i="2"/>
  <c r="J184" i="2"/>
  <c r="J183" i="2"/>
  <c r="J185" i="2"/>
  <c r="J186" i="2"/>
  <c r="J187" i="2"/>
  <c r="J188" i="2"/>
  <c r="J189" i="2"/>
  <c r="J190" i="2"/>
  <c r="J191" i="2"/>
  <c r="J192" i="2"/>
  <c r="J193" i="2"/>
  <c r="J194" i="2"/>
  <c r="J196" i="2"/>
  <c r="J195" i="2"/>
  <c r="J197" i="2"/>
  <c r="J198" i="2"/>
  <c r="J199" i="2"/>
  <c r="J200" i="2"/>
  <c r="J201" i="2"/>
  <c r="J202" i="2"/>
  <c r="J203" i="2"/>
  <c r="J204" i="2"/>
  <c r="J205" i="2"/>
  <c r="J206" i="2"/>
  <c r="J207" i="2"/>
  <c r="J208" i="2"/>
  <c r="J209" i="2"/>
  <c r="J210" i="2"/>
  <c r="J212" i="2"/>
  <c r="J211" i="2"/>
  <c r="J213" i="2"/>
  <c r="J214" i="2"/>
  <c r="J215" i="2"/>
  <c r="J216" i="2"/>
  <c r="J217" i="2"/>
  <c r="J220" i="2"/>
  <c r="J218" i="2"/>
  <c r="J219" i="2"/>
  <c r="G4" i="7" l="1"/>
  <c r="C8" i="3"/>
  <c r="C9" i="3"/>
  <c r="B10" i="3"/>
  <c r="B3" i="3" l="1"/>
  <c r="C7" i="3"/>
  <c r="B9" i="3"/>
  <c r="D9" i="3" s="1"/>
  <c r="B8" i="3"/>
  <c r="D8" i="3" s="1"/>
  <c r="B4" i="3"/>
  <c r="C6" i="3"/>
  <c r="C5" i="3"/>
  <c r="B2" i="3"/>
  <c r="C11" i="3"/>
  <c r="C10" i="3"/>
  <c r="D10" i="3" s="1"/>
  <c r="C12" i="3"/>
  <c r="B7" i="3"/>
  <c r="B6" i="3"/>
  <c r="B5" i="3"/>
  <c r="C3" i="3"/>
  <c r="C2" i="3"/>
  <c r="C4" i="3"/>
  <c r="B12" i="3"/>
  <c r="B11" i="3"/>
  <c r="Q3" i="2"/>
  <c r="Q6" i="2"/>
  <c r="D12" i="3" l="1"/>
  <c r="D11" i="3"/>
  <c r="D7" i="3"/>
  <c r="D4" i="3"/>
  <c r="D6" i="3"/>
  <c r="D5" i="3"/>
  <c r="D3" i="3"/>
  <c r="D2" i="3"/>
  <c r="R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243752-AA19-4EA7-8A35-9276DFF843FC}" keepAlive="1" name="Query - Export20251104132100" description="Connection to the 'Export20251104132100' query in the workbook." type="5" refreshedVersion="8" background="1" saveData="1">
    <dbPr connection="Provider=Microsoft.Mashup.OleDb.1;Data Source=$Workbook$;Location=Export20251104132100;Extended Properties=&quot;&quot;" command="SELECT * FROM [Export20251104132100]"/>
  </connection>
</connections>
</file>

<file path=xl/sharedStrings.xml><?xml version="1.0" encoding="utf-8"?>
<sst xmlns="http://schemas.openxmlformats.org/spreadsheetml/2006/main" count="1178" uniqueCount="275">
  <si>
    <t>Date</t>
  </si>
  <si>
    <t>Unique Id</t>
  </si>
  <si>
    <t>Tran Type</t>
  </si>
  <si>
    <t>Payee</t>
  </si>
  <si>
    <t>Memo</t>
  </si>
  <si>
    <t>Amount</t>
  </si>
  <si>
    <t>EFTPOS</t>
  </si>
  <si>
    <t>NETFLIX.COMLOS GATOS CA</t>
  </si>
  <si>
    <t>Spotify P32F135D5B Stockholm</t>
  </si>
  <si>
    <t>Under ArmourManawa Bay Auckland</t>
  </si>
  <si>
    <t>YD AUCKLANDAIRPORT AUCKLAND</t>
  </si>
  <si>
    <t>KOKODAK CHICKEN - UNATTE AUCKLAND</t>
  </si>
  <si>
    <t>Lindt  Sprungli AUCKLAND</t>
  </si>
  <si>
    <t>APPLE.COM/BILL SYDNEY</t>
  </si>
  <si>
    <t>D/C</t>
  </si>
  <si>
    <t>D/C FROM STUDYLINK (MSD)</t>
  </si>
  <si>
    <t>D/C FROM STUDYLINK (MSD )</t>
  </si>
  <si>
    <t>BIG BOSS BARBER CHAPEL R AUCKLAND</t>
  </si>
  <si>
    <t>AT Hop Manukau Bus Manukau</t>
  </si>
  <si>
    <t>BILLPAY</t>
  </si>
  <si>
    <t>PMT TO FC12-3083-0791904-50</t>
  </si>
  <si>
    <t>BILL PAYMENT TO nv</t>
  </si>
  <si>
    <t>OffshoreServiceMargins</t>
  </si>
  <si>
    <t>That Taco Place On Q Auckland</t>
  </si>
  <si>
    <t>CUE CITYAUCKLAND</t>
  </si>
  <si>
    <t>REAL CAFE LIMITED AUCKLAND</t>
  </si>
  <si>
    <t>NEWSFEEDAUCKLAND</t>
  </si>
  <si>
    <t>PUSH DEVELOPMENTS LOWER HUTT</t>
  </si>
  <si>
    <t>AT Hop Auckland Auckland</t>
  </si>
  <si>
    <t>GRAMMARLY CO*6T3H0HW at 0.5541*</t>
  </si>
  <si>
    <t>STUDALLOW 28485 516090069</t>
  </si>
  <si>
    <t>LC PAYMENT REF:203818 SSV516090069</t>
  </si>
  <si>
    <t>BRISCOES MANUKAU AUCKLAND</t>
  </si>
  <si>
    <t>TFR IN</t>
  </si>
  <si>
    <t>ATM DEPOSIT</t>
  </si>
  <si>
    <t>CARD 7315</t>
  </si>
  <si>
    <t>PAK N SAVE BOTANY AUCKLAND</t>
  </si>
  <si>
    <t>SHEIN.COMMELBOURNE</t>
  </si>
  <si>
    <t>REBEL BOTANYAUCKLAND</t>
  </si>
  <si>
    <t>NOVELTY SWEETS BOTANY AUCKLAND</t>
  </si>
  <si>
    <t>PMT TO FC12-3089-0372831-50</t>
  </si>
  <si>
    <t>BILL PAYMENT TO spring roll</t>
  </si>
  <si>
    <t>AMAZON PRIMEVIDEO NZ SINGAPORE</t>
  </si>
  <si>
    <t>D/D</t>
  </si>
  <si>
    <t>AMI Insurance</t>
  </si>
  <si>
    <t>D/D 4047200 25020-691735</t>
  </si>
  <si>
    <t>LC PAYMENT REF:203855 SSV516090069</t>
  </si>
  <si>
    <t>STUDALLOW 28507 516090069</t>
  </si>
  <si>
    <t>Chemist Warehouse NZ Onl Auckland</t>
  </si>
  <si>
    <t>SOUTHPOINT FAMILY DOCTOR AUCKLAND</t>
  </si>
  <si>
    <t>GAMMA.APPat 0.5577*</t>
  </si>
  <si>
    <t>PMT TO FC06-0323-0731887-00</t>
  </si>
  <si>
    <t>BILL PAYMENT TO sleevs</t>
  </si>
  <si>
    <t>Chemist Warehouse Manukau</t>
  </si>
  <si>
    <t>BP CONNECT PAKURANGA AUCKLAND</t>
  </si>
  <si>
    <t>STUDALLOW 28529 516090069</t>
  </si>
  <si>
    <t>LC PAYMENT REF:203892 SSV516090069</t>
  </si>
  <si>
    <t>THE MISSIONTHAI AUCKLAND</t>
  </si>
  <si>
    <t>SEA LIFE KELLY TARLTONS AUCKLAND</t>
  </si>
  <si>
    <t>WWW.INDIANSUPERMARKET. HAMILTON</t>
  </si>
  <si>
    <t>PMT TO FC01-0286-0857295-00</t>
  </si>
  <si>
    <t>BILL PAYMENT TO nandini</t>
  </si>
  <si>
    <t>BP CONNECT TAKANINI TAKANINI</t>
  </si>
  <si>
    <t>EVENT CINEMAS MANUKAU MANUKAU CITY</t>
  </si>
  <si>
    <t>Cascade Superette Pakuranga He</t>
  </si>
  <si>
    <t>KATSUBI MANUKAU AUCKLAND</t>
  </si>
  <si>
    <t>LC PAYMENT REF:203929 SSV516090069</t>
  </si>
  <si>
    <t>STUDALLOW 28551 516090069</t>
  </si>
  <si>
    <t>Spotify P33C5F0EAE Stockholm</t>
  </si>
  <si>
    <t>Chemist Warehouse Ronwood Ctr</t>
  </si>
  <si>
    <t>NEW WORLD SOUTHMALL MANUREWA</t>
  </si>
  <si>
    <t>THIRSTY LIQUOR MANUREWA</t>
  </si>
  <si>
    <t>STUDALLOW 28571 516090069</t>
  </si>
  <si>
    <t>LC PAYMENT REF:203961 SSV516090069</t>
  </si>
  <si>
    <t>PAK N SAVE MANUKAU AUCKLAND</t>
  </si>
  <si>
    <t>Ko Ko DakManukau</t>
  </si>
  <si>
    <t>STUDALLOW 28593 516090069</t>
  </si>
  <si>
    <t>LC PAYMENT REF:203998 SSV516090069</t>
  </si>
  <si>
    <t>EZI*HEALTH &amp;FITNESS Auckland</t>
  </si>
  <si>
    <t>D/D 4047200 25051-938407</t>
  </si>
  <si>
    <t>RAZ*RIGIat 49.5146*</t>
  </si>
  <si>
    <t>RAZ*RIGIat 0.5628*</t>
  </si>
  <si>
    <t>Spotify P34993A1C6 Stockholm</t>
  </si>
  <si>
    <t>D/D 4047200 25079-171971</t>
  </si>
  <si>
    <t>D/C FROM From MR N RAWAT</t>
  </si>
  <si>
    <t>cash</t>
  </si>
  <si>
    <t>Netflix NewZealand -</t>
  </si>
  <si>
    <t>Spotify P358BE53AA Stockholm</t>
  </si>
  <si>
    <t>SUBWAY CALTEX PAPATOETOE AUCKLAND</t>
  </si>
  <si>
    <t>money</t>
  </si>
  <si>
    <t>D/C FROM From MS N RAWAT</t>
  </si>
  <si>
    <t>money money money</t>
  </si>
  <si>
    <t>NZ TRANSPORTAGENCY-ECOM PALMERSTON N</t>
  </si>
  <si>
    <t>D/D 4047200 25112-405128</t>
  </si>
  <si>
    <t>PMT TO FC06-0594-0194964-00</t>
  </si>
  <si>
    <t>BILL PAYMENT TO Pankaj Rawat</t>
  </si>
  <si>
    <t>Spotify P367654656 Stockholm</t>
  </si>
  <si>
    <t>D/D 4047200 25140-606798</t>
  </si>
  <si>
    <t>j</t>
  </si>
  <si>
    <t>THE WAREHOUSE 405 MANUKA AUCKLAND</t>
  </si>
  <si>
    <t>PAK N SAVE ORMISTON AUCKLAND</t>
  </si>
  <si>
    <t>Revolut**9418* Wellington</t>
  </si>
  <si>
    <t>D/C FROM I.R.D. 126-890-230</t>
  </si>
  <si>
    <t>D29697488# INC 31/03/2025</t>
  </si>
  <si>
    <t>SMITS COACHING MOLDE</t>
  </si>
  <si>
    <t>Pgenie IndiaPrivate Lim Gurgaon</t>
  </si>
  <si>
    <t>D/D 4047200 25174-815760</t>
  </si>
  <si>
    <t>jzjzk</t>
  </si>
  <si>
    <t>SUPPORTPDFFILLER.COM at 0.6039*</t>
  </si>
  <si>
    <t>D/C FROM USD 1.25</t>
  </si>
  <si>
    <t>SUPPORTPDFFI LLER.COM 855-7501663</t>
  </si>
  <si>
    <t>AT PUBLIC TRANSPORT AUCKLAND</t>
  </si>
  <si>
    <t>D/D 4047200 25202-976414</t>
  </si>
  <si>
    <t>DEPT OF INTERNAL AFFAIRS WELLINGTON</t>
  </si>
  <si>
    <t>AWANUI MANUKAU MANUKAU</t>
  </si>
  <si>
    <t>D/D AMIInsurance 330160351170 MOTA01330204</t>
  </si>
  <si>
    <t>D/C FROM From JAI SHRI RAM LI</t>
  </si>
  <si>
    <t>m singh  help</t>
  </si>
  <si>
    <t>www.chemistwarehouse.co. Auckland</t>
  </si>
  <si>
    <t>Spotify P3A09977EA Stockholm</t>
  </si>
  <si>
    <t>m s  help</t>
  </si>
  <si>
    <t>D/C FROM IAG NEW ZEALAND</t>
  </si>
  <si>
    <t>MOTA01330204 350120003956 AMIINSURANC</t>
  </si>
  <si>
    <t>STRANDBAGS 344 MANUKAU CITY</t>
  </si>
  <si>
    <t>s d  help</t>
  </si>
  <si>
    <t>2DEGREES MOBILE AUCKLAND</t>
  </si>
  <si>
    <t>m s  for grocery</t>
  </si>
  <si>
    <t>m s  grocery</t>
  </si>
  <si>
    <t>WOOLWORTHS NZ/SHOP 99 MA MANUKAU</t>
  </si>
  <si>
    <t>BP CONNECT PACIFIC MANUKAU</t>
  </si>
  <si>
    <t>R s  help</t>
  </si>
  <si>
    <t>PMT TO FC12-3436-0065861-00</t>
  </si>
  <si>
    <t>BILL PAYMENT TO M Singh  Personal</t>
  </si>
  <si>
    <t>PAK N SAVE CLENDON AUCKLAND</t>
  </si>
  <si>
    <t>FITNESS PLUSAUCKLAND</t>
  </si>
  <si>
    <t>PMT TO FC06-0222-0948286-00</t>
  </si>
  <si>
    <t>BILL PAYMENT TO pankaj</t>
  </si>
  <si>
    <t>DEBITSUCCESS</t>
  </si>
  <si>
    <t>D/D FITNESS PLUS A00KERFD0FRG FPMK887814</t>
  </si>
  <si>
    <t>D/D FITNESS PLUS A00KERFD0FRH FPMK887814</t>
  </si>
  <si>
    <t>m s  vegs</t>
  </si>
  <si>
    <t>D/D FITNESS PLUS A00KGKA20F5D FPMK887814</t>
  </si>
  <si>
    <t>Chemist Warehouse Flat Bush</t>
  </si>
  <si>
    <t>Spotify P3BF258548 Stockholm</t>
  </si>
  <si>
    <t>Z EllerslieAuckland</t>
  </si>
  <si>
    <t>D/C FROM NZD 8.06</t>
  </si>
  <si>
    <t>AMAZON PRIME VIDEO NZ SINGAPORE</t>
  </si>
  <si>
    <t>BEVERLEY HILLS SUPRE AUCKLAND</t>
  </si>
  <si>
    <t>ChemistWareh02102763901 79583113</t>
  </si>
  <si>
    <t>Merchant</t>
  </si>
  <si>
    <t>Netflix</t>
  </si>
  <si>
    <t>Spotify</t>
  </si>
  <si>
    <t>Apple</t>
  </si>
  <si>
    <t>Grammarly Co*6T3H0Hw At 0</t>
  </si>
  <si>
    <t>Shein</t>
  </si>
  <si>
    <t>Gamma.Appat 0</t>
  </si>
  <si>
    <t>Www.Indiansupermarket</t>
  </si>
  <si>
    <t>Raz*Rigiat 49</t>
  </si>
  <si>
    <t>Raz*Rigiat 0</t>
  </si>
  <si>
    <t>Revolut</t>
  </si>
  <si>
    <t>D/C From I.R.D</t>
  </si>
  <si>
    <t>Supportpdffiller.Com At 0</t>
  </si>
  <si>
    <t>D/C From Usd 1</t>
  </si>
  <si>
    <t>Www.Chemistwarehouse.Co</t>
  </si>
  <si>
    <t>D/C From Nzd 8</t>
  </si>
  <si>
    <t xml:space="preserve"> YD Auckland </t>
  </si>
  <si>
    <t>PMT To Fc12</t>
  </si>
  <si>
    <t>OffshoreServiceMargins Ser</t>
  </si>
  <si>
    <t>NEWSFEEDAUCKLAND Sfeedauc</t>
  </si>
  <si>
    <t>BRISCOES Ma</t>
  </si>
  <si>
    <t>ATM Atm Deposit</t>
  </si>
  <si>
    <t>REBEL Rebel Botan</t>
  </si>
  <si>
    <t>AMI Ami Insuran</t>
  </si>
  <si>
    <t>PMT To Fc06</t>
  </si>
  <si>
    <t>Chemist War</t>
  </si>
  <si>
    <t>THE Mission</t>
  </si>
  <si>
    <t>PMT To Fc01</t>
  </si>
  <si>
    <t>KATSUBI Man</t>
  </si>
  <si>
    <t>THIRSTY Liq</t>
  </si>
  <si>
    <t>Netflix Netflix New</t>
  </si>
  <si>
    <t>SMITS Coach</t>
  </si>
  <si>
    <t>AWANUI Manu</t>
  </si>
  <si>
    <t xml:space="preserve">STRANDBAGS </t>
  </si>
  <si>
    <t>2DEGREES Mo</t>
  </si>
  <si>
    <t>FITNESS Fitness Plu</t>
  </si>
  <si>
    <t>DEBITSUCCESS Itsucces</t>
  </si>
  <si>
    <t xml:space="preserve"> Kokodak Chicken</t>
  </si>
  <si>
    <t>D/C From</t>
  </si>
  <si>
    <t>At Hop Manukau</t>
  </si>
  <si>
    <t>Pak N Save</t>
  </si>
  <si>
    <t>Chemist Warehouse Nz</t>
  </si>
  <si>
    <t>Sea Life Kelly</t>
  </si>
  <si>
    <t>Event Cinemas Manukau</t>
  </si>
  <si>
    <t>The Warehouse 405</t>
  </si>
  <si>
    <t>Dept Of Internal</t>
  </si>
  <si>
    <t>D/C From Iag</t>
  </si>
  <si>
    <t>Woolworths Nz/Shop 99</t>
  </si>
  <si>
    <t xml:space="preserve">Lindt </t>
  </si>
  <si>
    <t>Type</t>
  </si>
  <si>
    <t>Month-year</t>
  </si>
  <si>
    <t>income</t>
  </si>
  <si>
    <t>spending</t>
  </si>
  <si>
    <t>balance</t>
  </si>
  <si>
    <t>2025-01</t>
  </si>
  <si>
    <t>2025-02</t>
  </si>
  <si>
    <t>2025-03</t>
  </si>
  <si>
    <t>2025-04</t>
  </si>
  <si>
    <t>2025-05</t>
  </si>
  <si>
    <t>2025-06</t>
  </si>
  <si>
    <t>2025-07</t>
  </si>
  <si>
    <t>2025-08</t>
  </si>
  <si>
    <t>2025-09</t>
  </si>
  <si>
    <t>2025-10</t>
  </si>
  <si>
    <t>2025-11</t>
  </si>
  <si>
    <t>Under Armour</t>
  </si>
  <si>
    <t>LC PAYMENT</t>
  </si>
  <si>
    <t>STUDALLOW</t>
  </si>
  <si>
    <t>Studylink</t>
  </si>
  <si>
    <t>Food</t>
  </si>
  <si>
    <t>CUE City</t>
  </si>
  <si>
    <t xml:space="preserve">AT </t>
  </si>
  <si>
    <t>Category</t>
  </si>
  <si>
    <t>Big boss</t>
  </si>
  <si>
    <t>Steam</t>
  </si>
  <si>
    <t>The Taco Place</t>
  </si>
  <si>
    <t>Push Development</t>
  </si>
  <si>
    <t>That taco</t>
  </si>
  <si>
    <t>Ko Ko Dakma</t>
  </si>
  <si>
    <t>D c</t>
  </si>
  <si>
    <t>Nz Transportagency-Ecom</t>
  </si>
  <si>
    <t>Pgenie India</t>
  </si>
  <si>
    <t xml:space="preserve"> That Taco Place</t>
  </si>
  <si>
    <t>NOVELTY SWEETS</t>
  </si>
  <si>
    <t>Amazon</t>
  </si>
  <si>
    <t>Southpoint family doctors</t>
  </si>
  <si>
    <t>BP</t>
  </si>
  <si>
    <t>Cascade</t>
  </si>
  <si>
    <t>New world</t>
  </si>
  <si>
    <t>EZI</t>
  </si>
  <si>
    <t>Chemsit Warehouse Nz</t>
  </si>
  <si>
    <t>Subway</t>
  </si>
  <si>
    <t>Chemist Warehouse NZ</t>
  </si>
  <si>
    <t>Z</t>
  </si>
  <si>
    <t>Beverley Hills</t>
  </si>
  <si>
    <t>Chemist warehouse NZ</t>
  </si>
  <si>
    <t>Groceries</t>
  </si>
  <si>
    <t>Transport</t>
  </si>
  <si>
    <t>Shopping</t>
  </si>
  <si>
    <t>Utilities</t>
  </si>
  <si>
    <t>Entertainment</t>
  </si>
  <si>
    <t>Education</t>
  </si>
  <si>
    <t>Healthcare</t>
  </si>
  <si>
    <t>Fees &amp; Charges</t>
  </si>
  <si>
    <t>Transfers</t>
  </si>
  <si>
    <t>Income</t>
  </si>
  <si>
    <t>Grooming</t>
  </si>
  <si>
    <t>Fitness</t>
  </si>
  <si>
    <t>Subscription</t>
  </si>
  <si>
    <t>Food &amp; dining</t>
  </si>
  <si>
    <t>Fuel</t>
  </si>
  <si>
    <t>Uncategorized</t>
  </si>
  <si>
    <t>Income Sparkilne</t>
  </si>
  <si>
    <t>Spending Sparkline</t>
  </si>
  <si>
    <t>Row Labels</t>
  </si>
  <si>
    <t>Grand Total</t>
  </si>
  <si>
    <t>Sum of Amount</t>
  </si>
  <si>
    <t>Spending by Merchant</t>
  </si>
  <si>
    <t>Transaction Count</t>
  </si>
  <si>
    <t>Spend %</t>
  </si>
  <si>
    <t>Total Spent</t>
  </si>
  <si>
    <t>(All)</t>
  </si>
  <si>
    <t>Personal Finance Dashboard</t>
  </si>
  <si>
    <t>Total Income</t>
  </si>
  <si>
    <t>Total Spending</t>
  </si>
  <si>
    <t>Net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</si>
</sst>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quot;$&quot;#,##0.00"/>
    <numFmt numFmtId="44" formatCode="_-&quot;$&quot;* #,##0.00_-;\-&quot;$&quot;* #,##0.00_-;_-&quot;$&quot;* &quot;-&quot;??_-;_-@_-"/>
    <numFmt numFmtId="164" formatCode="&quot;$&quot;#,##0.00"/>
  </numFmts>
  <fonts count="6" x14ac:knownFonts="1">
    <font>
      <sz val="11"/>
      <color theme="1"/>
      <name val="Aptos Narrow"/>
      <family val="2"/>
      <scheme val="minor"/>
    </font>
    <font>
      <sz val="8"/>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b/>
      <sz val="14"/>
      <color theme="1"/>
      <name val="Aptos Narrow"/>
      <family val="2"/>
      <scheme val="minor"/>
    </font>
  </fonts>
  <fills count="7">
    <fill>
      <patternFill patternType="none"/>
    </fill>
    <fill>
      <patternFill patternType="gray125"/>
    </fill>
    <fill>
      <patternFill patternType="solid">
        <fgColor theme="9"/>
        <bgColor indexed="64"/>
      </patternFill>
    </fill>
    <fill>
      <patternFill patternType="solid">
        <fgColor theme="6" tint="0.39997558519241921"/>
        <bgColor indexed="64"/>
      </patternFill>
    </fill>
    <fill>
      <patternFill patternType="solid">
        <fgColor rgb="FFFFC7CE"/>
      </patternFill>
    </fill>
    <fill>
      <patternFill patternType="solid">
        <fgColor rgb="FFFFEB9C"/>
      </patternFill>
    </fill>
    <fill>
      <patternFill patternType="solid">
        <fgColor theme="6" tint="0.79998168889431442"/>
        <bgColor indexed="65"/>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4">
    <xf numFmtId="0" fontId="0" fillId="0" borderId="0"/>
    <xf numFmtId="0" fontId="3" fillId="4" borderId="0" applyNumberFormat="0" applyBorder="0" applyAlignment="0" applyProtection="0"/>
    <xf numFmtId="0" fontId="4" fillId="5" borderId="0" applyNumberFormat="0" applyBorder="0" applyAlignment="0" applyProtection="0"/>
    <xf numFmtId="0" fontId="2" fillId="6" borderId="0" applyNumberFormat="0" applyBorder="0" applyAlignment="0" applyProtection="0"/>
  </cellStyleXfs>
  <cellXfs count="34">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7" fontId="0" fillId="0" borderId="0" xfId="0" applyNumberFormat="1"/>
    <xf numFmtId="10" fontId="0" fillId="0" borderId="0" xfId="0" applyNumberFormat="1"/>
    <xf numFmtId="44" fontId="0" fillId="0" borderId="0" xfId="0" applyNumberFormat="1"/>
    <xf numFmtId="0" fontId="0" fillId="0" borderId="0" xfId="0" applyAlignment="1">
      <alignment horizontal="left" vertical="center" inden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4" fontId="0" fillId="2" borderId="0" xfId="0" applyNumberFormat="1" applyFill="1"/>
    <xf numFmtId="164" fontId="0" fillId="0" borderId="0" xfId="0" applyNumberFormat="1"/>
    <xf numFmtId="164" fontId="0" fillId="3" borderId="0" xfId="0" applyNumberFormat="1" applyFill="1"/>
    <xf numFmtId="0" fontId="0" fillId="0" borderId="9" xfId="0" applyBorder="1"/>
    <xf numFmtId="0" fontId="0" fillId="0" borderId="10" xfId="0" applyBorder="1"/>
    <xf numFmtId="0" fontId="0" fillId="0" borderId="11" xfId="0" applyBorder="1"/>
    <xf numFmtId="0" fontId="2" fillId="6" borderId="1" xfId="3" applyBorder="1" applyAlignment="1">
      <alignment horizontal="center" vertical="top"/>
    </xf>
    <xf numFmtId="0" fontId="2" fillId="6" borderId="2" xfId="3" applyBorder="1" applyAlignment="1">
      <alignment horizontal="center" vertical="top"/>
    </xf>
    <xf numFmtId="0" fontId="2" fillId="6" borderId="3" xfId="3" applyBorder="1" applyAlignment="1">
      <alignment horizontal="center" vertical="top"/>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3" fillId="4" borderId="1" xfId="1" applyBorder="1" applyAlignment="1">
      <alignment horizontal="center"/>
    </xf>
    <xf numFmtId="0" fontId="3" fillId="4" borderId="2" xfId="1" applyBorder="1" applyAlignment="1">
      <alignment horizontal="center"/>
    </xf>
    <xf numFmtId="0" fontId="3" fillId="4" borderId="3" xfId="1" applyBorder="1" applyAlignment="1">
      <alignment horizontal="center"/>
    </xf>
    <xf numFmtId="0" fontId="4" fillId="5" borderId="1" xfId="2" applyBorder="1" applyAlignment="1">
      <alignment horizontal="center"/>
    </xf>
    <xf numFmtId="0" fontId="4" fillId="5" borderId="2" xfId="2" applyBorder="1" applyAlignment="1">
      <alignment horizontal="center"/>
    </xf>
    <xf numFmtId="0" fontId="4" fillId="5" borderId="3" xfId="2" applyBorder="1" applyAlignment="1">
      <alignment horizontal="center"/>
    </xf>
    <xf numFmtId="0" fontId="5" fillId="0" borderId="0" xfId="0" applyFont="1" applyAlignment="1">
      <alignment horizontal="center"/>
    </xf>
    <xf numFmtId="0" fontId="0" fillId="0" borderId="0" xfId="0" applyNumberFormat="1"/>
  </cellXfs>
  <cellStyles count="4">
    <cellStyle name="20% - Accent3" xfId="3" builtinId="38"/>
    <cellStyle name="Bad" xfId="1" builtinId="27"/>
    <cellStyle name="Neutral" xfId="2" builtinId="28"/>
    <cellStyle name="Normal" xfId="0" builtinId="0"/>
  </cellStyles>
  <dxfs count="29">
    <dxf>
      <fill>
        <patternFill>
          <bgColor theme="6" tint="0.39994506668294322"/>
        </patternFill>
      </fill>
    </dxf>
    <dxf>
      <font>
        <color rgb="FF9C0006"/>
      </font>
      <fill>
        <patternFill>
          <bgColor rgb="FFFFC7CE"/>
        </patternFill>
      </fill>
    </dxf>
    <dxf>
      <numFmt numFmtId="0" formatCode="General"/>
      <alignment horizontal="left" vertical="center" textRotation="0" wrapText="0" indent="1" justifyLastLine="0" shrinkToFit="0" readingOrder="0"/>
    </dxf>
    <dxf>
      <numFmt numFmtId="0" formatCode="General"/>
      <alignment horizontal="left" vertical="center" textRotation="0" wrapText="0" indent="1" justifyLastLine="0" shrinkToFit="0" readingOrder="0"/>
    </dxf>
    <dxf>
      <numFmt numFmtId="164" formatCode="&quot;$&quot;#,##0.00"/>
    </dxf>
    <dxf>
      <numFmt numFmtId="164" formatCode="&quot;$&quot;#,##0.00"/>
    </dxf>
    <dxf>
      <numFmt numFmtId="164" formatCode="&quot;$&quot;#,##0.00"/>
    </dxf>
    <dxf>
      <numFmt numFmtId="164" formatCode="&quot;$&quot;#,##0.00"/>
    </dxf>
    <dxf>
      <numFmt numFmtId="164" formatCode="&quot;$&quot;#,##0.00"/>
    </dxf>
    <dxf>
      <fill>
        <patternFill patternType="none">
          <fgColor indexed="64"/>
          <bgColor indexed="65"/>
        </patternFill>
      </fill>
    </dxf>
    <dxf>
      <numFmt numFmtId="0" formatCode="General"/>
    </dxf>
    <dxf>
      <numFmt numFmtId="164" formatCode="&quot;$&quot;#,##0.00"/>
      <fill>
        <patternFill patternType="none">
          <fgColor indexed="64"/>
          <bgColor indexed="65"/>
        </patternFill>
      </fill>
    </dxf>
    <dxf>
      <numFmt numFmtId="164" formatCode="&quot;$&quot;#,##0.00"/>
    </dxf>
    <dxf>
      <fill>
        <patternFill patternType="none">
          <fgColor indexed="64"/>
          <bgColor indexed="65"/>
        </patternFill>
      </fill>
    </dxf>
    <dxf>
      <numFmt numFmtId="0" formatCode="General"/>
    </dxf>
    <dxf>
      <fill>
        <patternFill patternType="none">
          <fgColor indexed="64"/>
          <bgColor indexed="65"/>
        </patternFill>
      </fill>
    </dxf>
    <dxf>
      <numFmt numFmtId="0" formatCode="General"/>
    </dxf>
    <dxf>
      <fill>
        <patternFill patternType="none">
          <fgColor indexed="64"/>
          <bgColor indexed="65"/>
        </patternFill>
      </fill>
    </dxf>
    <dxf>
      <numFmt numFmtId="0" formatCode="General"/>
    </dxf>
    <dxf>
      <fill>
        <patternFill patternType="none">
          <fgColor indexed="64"/>
          <bgColor indexed="65"/>
        </patternFill>
      </fill>
    </dxf>
    <dxf>
      <numFmt numFmtId="0" formatCode="General"/>
    </dxf>
    <dxf>
      <fill>
        <patternFill patternType="none">
          <fgColor indexed="64"/>
          <bgColor indexed="65"/>
        </patternFill>
      </fill>
    </dxf>
    <dxf>
      <numFmt numFmtId="0" formatCode="General"/>
    </dxf>
    <dxf>
      <fill>
        <patternFill patternType="none">
          <fgColor indexed="64"/>
          <bgColor indexed="65"/>
        </patternFill>
      </fill>
    </dxf>
    <dxf>
      <fill>
        <patternFill patternType="none">
          <fgColor indexed="64"/>
          <bgColor indexed="65"/>
        </patternFill>
      </fill>
    </dxf>
    <dxf>
      <numFmt numFmtId="19" formatCode="d/mm/yyyy"/>
    </dxf>
    <dxf>
      <fill>
        <patternFill patternType="none">
          <fgColor indexed="64"/>
          <bgColor indexed="65"/>
        </patternFill>
      </fill>
    </dxf>
    <dxf>
      <numFmt numFmtId="19" formatCode="d/mm/yyyy"/>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Income vs Spending</a:t>
            </a:r>
          </a:p>
        </c:rich>
      </c:tx>
      <c:layout>
        <c:manualLayout>
          <c:xMode val="edge"/>
          <c:yMode val="edge"/>
          <c:x val="0.32318744531933508"/>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Sparklines'!$B$1</c:f>
              <c:strCache>
                <c:ptCount val="1"/>
                <c:pt idx="0">
                  <c:v>income</c:v>
                </c:pt>
              </c:strCache>
            </c:strRef>
          </c:tx>
          <c:spPr>
            <a:solidFill>
              <a:schemeClr val="accent6"/>
            </a:solidFill>
            <a:ln>
              <a:noFill/>
            </a:ln>
            <a:effectLst/>
          </c:spPr>
          <c:invertIfNegative val="0"/>
          <c:cat>
            <c:strRef>
              <c:f>'Income Sparklines'!$A$2:$A$12</c:f>
              <c:strCache>
                <c:ptCount val="11"/>
                <c:pt idx="0">
                  <c:v>2025-01</c:v>
                </c:pt>
                <c:pt idx="1">
                  <c:v>2025-02</c:v>
                </c:pt>
                <c:pt idx="2">
                  <c:v>2025-03</c:v>
                </c:pt>
                <c:pt idx="3">
                  <c:v>2025-04</c:v>
                </c:pt>
                <c:pt idx="4">
                  <c:v>2025-05</c:v>
                </c:pt>
                <c:pt idx="5">
                  <c:v>2025-06</c:v>
                </c:pt>
                <c:pt idx="6">
                  <c:v>2025-07</c:v>
                </c:pt>
                <c:pt idx="7">
                  <c:v>2025-08</c:v>
                </c:pt>
                <c:pt idx="8">
                  <c:v>2025-09</c:v>
                </c:pt>
                <c:pt idx="9">
                  <c:v>2025-10</c:v>
                </c:pt>
                <c:pt idx="10">
                  <c:v>2025-11</c:v>
                </c:pt>
              </c:strCache>
            </c:strRef>
          </c:cat>
          <c:val>
            <c:numRef>
              <c:f>'Income Sparklines'!$B$2:$B$12</c:f>
              <c:numCache>
                <c:formatCode>"$"#,##0.00</c:formatCode>
                <c:ptCount val="11"/>
                <c:pt idx="0">
                  <c:v>1295.56</c:v>
                </c:pt>
                <c:pt idx="1">
                  <c:v>949.17</c:v>
                </c:pt>
                <c:pt idx="2">
                  <c:v>130</c:v>
                </c:pt>
                <c:pt idx="3">
                  <c:v>430</c:v>
                </c:pt>
                <c:pt idx="4">
                  <c:v>150</c:v>
                </c:pt>
                <c:pt idx="5">
                  <c:v>685.7</c:v>
                </c:pt>
                <c:pt idx="6">
                  <c:v>677.05</c:v>
                </c:pt>
                <c:pt idx="7">
                  <c:v>527.5</c:v>
                </c:pt>
                <c:pt idx="8">
                  <c:v>1156.8600000000001</c:v>
                </c:pt>
                <c:pt idx="9">
                  <c:v>1117</c:v>
                </c:pt>
                <c:pt idx="10">
                  <c:v>8.06</c:v>
                </c:pt>
              </c:numCache>
            </c:numRef>
          </c:val>
          <c:extLst>
            <c:ext xmlns:c16="http://schemas.microsoft.com/office/drawing/2014/chart" uri="{C3380CC4-5D6E-409C-BE32-E72D297353CC}">
              <c16:uniqueId val="{00000000-6057-431E-A644-527AF8479A44}"/>
            </c:ext>
          </c:extLst>
        </c:ser>
        <c:dLbls>
          <c:showLegendKey val="0"/>
          <c:showVal val="0"/>
          <c:showCatName val="0"/>
          <c:showSerName val="0"/>
          <c:showPercent val="0"/>
          <c:showBubbleSize val="0"/>
        </c:dLbls>
        <c:gapWidth val="219"/>
        <c:overlap val="-27"/>
        <c:axId val="1236779616"/>
        <c:axId val="1236780096"/>
      </c:barChart>
      <c:lineChart>
        <c:grouping val="standard"/>
        <c:varyColors val="0"/>
        <c:ser>
          <c:idx val="1"/>
          <c:order val="1"/>
          <c:tx>
            <c:strRef>
              <c:f>'Income Sparklines'!$C$1</c:f>
              <c:strCache>
                <c:ptCount val="1"/>
                <c:pt idx="0">
                  <c:v>spending</c:v>
                </c:pt>
              </c:strCache>
            </c:strRef>
          </c:tx>
          <c:spPr>
            <a:ln w="28575" cap="rnd">
              <a:solidFill>
                <a:srgbClr val="FF0000"/>
              </a:solidFill>
              <a:round/>
            </a:ln>
            <a:effectLst/>
          </c:spPr>
          <c:marker>
            <c:symbol val="none"/>
          </c:marker>
          <c:cat>
            <c:strRef>
              <c:f>'Income Sparklines'!$A$2:$A$12</c:f>
              <c:strCache>
                <c:ptCount val="11"/>
                <c:pt idx="0">
                  <c:v>2025-01</c:v>
                </c:pt>
                <c:pt idx="1">
                  <c:v>2025-02</c:v>
                </c:pt>
                <c:pt idx="2">
                  <c:v>2025-03</c:v>
                </c:pt>
                <c:pt idx="3">
                  <c:v>2025-04</c:v>
                </c:pt>
                <c:pt idx="4">
                  <c:v>2025-05</c:v>
                </c:pt>
                <c:pt idx="5">
                  <c:v>2025-06</c:v>
                </c:pt>
                <c:pt idx="6">
                  <c:v>2025-07</c:v>
                </c:pt>
                <c:pt idx="7">
                  <c:v>2025-08</c:v>
                </c:pt>
                <c:pt idx="8">
                  <c:v>2025-09</c:v>
                </c:pt>
                <c:pt idx="9">
                  <c:v>2025-10</c:v>
                </c:pt>
                <c:pt idx="10">
                  <c:v>2025-11</c:v>
                </c:pt>
              </c:strCache>
            </c:strRef>
          </c:cat>
          <c:val>
            <c:numRef>
              <c:f>'Income Sparklines'!$C$2:$C$12</c:f>
              <c:numCache>
                <c:formatCode>"$"#,##0.00</c:formatCode>
                <c:ptCount val="11"/>
                <c:pt idx="0">
                  <c:v>1442.3000000000006</c:v>
                </c:pt>
                <c:pt idx="1">
                  <c:v>829.99</c:v>
                </c:pt>
                <c:pt idx="2">
                  <c:v>361.35</c:v>
                </c:pt>
                <c:pt idx="3">
                  <c:v>398.45000000000005</c:v>
                </c:pt>
                <c:pt idx="4">
                  <c:v>260.35999999999996</c:v>
                </c:pt>
                <c:pt idx="5">
                  <c:v>522.12999999999988</c:v>
                </c:pt>
                <c:pt idx="6">
                  <c:v>182.69</c:v>
                </c:pt>
                <c:pt idx="7">
                  <c:v>865.08</c:v>
                </c:pt>
                <c:pt idx="8">
                  <c:v>343.42</c:v>
                </c:pt>
                <c:pt idx="9">
                  <c:v>730.3900000000001</c:v>
                </c:pt>
                <c:pt idx="10">
                  <c:v>197.7</c:v>
                </c:pt>
              </c:numCache>
            </c:numRef>
          </c:val>
          <c:smooth val="0"/>
          <c:extLst>
            <c:ext xmlns:c16="http://schemas.microsoft.com/office/drawing/2014/chart" uri="{C3380CC4-5D6E-409C-BE32-E72D297353CC}">
              <c16:uniqueId val="{00000001-6057-431E-A644-527AF8479A44}"/>
            </c:ext>
          </c:extLst>
        </c:ser>
        <c:dLbls>
          <c:showLegendKey val="0"/>
          <c:showVal val="0"/>
          <c:showCatName val="0"/>
          <c:showSerName val="0"/>
          <c:showPercent val="0"/>
          <c:showBubbleSize val="0"/>
        </c:dLbls>
        <c:marker val="1"/>
        <c:smooth val="0"/>
        <c:axId val="1077328304"/>
        <c:axId val="1077327824"/>
      </c:lineChart>
      <c:catAx>
        <c:axId val="12367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780096"/>
        <c:crosses val="autoZero"/>
        <c:auto val="1"/>
        <c:lblAlgn val="ctr"/>
        <c:lblOffset val="100"/>
        <c:noMultiLvlLbl val="0"/>
      </c:catAx>
      <c:valAx>
        <c:axId val="1236780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779616"/>
        <c:crosses val="autoZero"/>
        <c:crossBetween val="between"/>
      </c:valAx>
      <c:valAx>
        <c:axId val="1077327824"/>
        <c:scaling>
          <c:orientation val="minMax"/>
        </c:scaling>
        <c:delete val="0"/>
        <c:axPos val="r"/>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328304"/>
        <c:crosses val="max"/>
        <c:crossBetween val="between"/>
      </c:valAx>
      <c:catAx>
        <c:axId val="1077328304"/>
        <c:scaling>
          <c:orientation val="minMax"/>
        </c:scaling>
        <c:delete val="1"/>
        <c:axPos val="b"/>
        <c:numFmt formatCode="General" sourceLinked="1"/>
        <c:majorTickMark val="none"/>
        <c:minorTickMark val="none"/>
        <c:tickLblPos val="nextTo"/>
        <c:crossAx val="10773278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spending</a:t>
            </a:r>
            <a:r>
              <a:rPr lang="en-US" baseline="0"/>
              <a:t> by category</a:t>
            </a:r>
          </a:p>
          <a:p>
            <a:pPr>
              <a:defRPr/>
            </a:pPr>
            <a:endParaRPr lang="en-US"/>
          </a:p>
        </c:rich>
      </c:tx>
      <c:layout>
        <c:manualLayout>
          <c:xMode val="edge"/>
          <c:yMode val="edge"/>
          <c:x val="0.27242460409641062"/>
          <c:y val="4.786628665281853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985892388451447"/>
          <c:y val="0.22152668416447943"/>
          <c:w val="0.7811302473430396"/>
          <c:h val="0.74844730772289825"/>
        </c:manualLayout>
      </c:layout>
      <c:bar3DChart>
        <c:barDir val="col"/>
        <c:grouping val="stacked"/>
        <c:varyColors val="0"/>
        <c:ser>
          <c:idx val="0"/>
          <c:order val="0"/>
          <c:tx>
            <c:strRef>
              <c:f>'Pivot Tables'!$B$3</c:f>
              <c:strCache>
                <c:ptCount val="1"/>
                <c:pt idx="0">
                  <c:v>Total Spent</c:v>
                </c:pt>
              </c:strCache>
            </c:strRef>
          </c:tx>
          <c:spPr>
            <a:solidFill>
              <a:schemeClr val="accent1"/>
            </a:solidFill>
            <a:ln>
              <a:noFill/>
            </a:ln>
            <a:effectLst/>
            <a:sp3d/>
          </c:spPr>
          <c:invertIfNegative val="0"/>
          <c:cat>
            <c:strRef>
              <c:f>'Pivot Tables'!$A$4:$A$20</c:f>
              <c:strCache>
                <c:ptCount val="16"/>
                <c:pt idx="0">
                  <c:v>Education</c:v>
                </c:pt>
                <c:pt idx="1">
                  <c:v>Entertainment</c:v>
                </c:pt>
                <c:pt idx="2">
                  <c:v>Fees &amp; Charges</c:v>
                </c:pt>
                <c:pt idx="3">
                  <c:v>Fitness</c:v>
                </c:pt>
                <c:pt idx="4">
                  <c:v>Food &amp; dining</c:v>
                </c:pt>
                <c:pt idx="5">
                  <c:v>Fuel</c:v>
                </c:pt>
                <c:pt idx="6">
                  <c:v>Groceries</c:v>
                </c:pt>
                <c:pt idx="7">
                  <c:v>Grooming</c:v>
                </c:pt>
                <c:pt idx="8">
                  <c:v>Healthcare</c:v>
                </c:pt>
                <c:pt idx="9">
                  <c:v>Income</c:v>
                </c:pt>
                <c:pt idx="10">
                  <c:v>Shopping</c:v>
                </c:pt>
                <c:pt idx="11">
                  <c:v>Subscription</c:v>
                </c:pt>
                <c:pt idx="12">
                  <c:v>Transfers</c:v>
                </c:pt>
                <c:pt idx="13">
                  <c:v>Transport</c:v>
                </c:pt>
                <c:pt idx="14">
                  <c:v>Uncategorized</c:v>
                </c:pt>
                <c:pt idx="15">
                  <c:v>Utilities</c:v>
                </c:pt>
              </c:strCache>
            </c:strRef>
          </c:cat>
          <c:val>
            <c:numRef>
              <c:f>'Pivot Tables'!$B$4:$B$20</c:f>
              <c:numCache>
                <c:formatCode>_("$"* #,##0.00_);_("$"* \(#,##0.00\);_("$"* "-"??_);_(@_)</c:formatCode>
                <c:ptCount val="16"/>
                <c:pt idx="0">
                  <c:v>-74.139999999999986</c:v>
                </c:pt>
                <c:pt idx="1">
                  <c:v>-418.47000000000008</c:v>
                </c:pt>
                <c:pt idx="2">
                  <c:v>-10</c:v>
                </c:pt>
                <c:pt idx="3">
                  <c:v>-79.95</c:v>
                </c:pt>
                <c:pt idx="4">
                  <c:v>-353.49000000000007</c:v>
                </c:pt>
                <c:pt idx="5">
                  <c:v>-301.90000000000003</c:v>
                </c:pt>
                <c:pt idx="6">
                  <c:v>-461.44999999999993</c:v>
                </c:pt>
                <c:pt idx="7">
                  <c:v>-210.14999999999998</c:v>
                </c:pt>
                <c:pt idx="8">
                  <c:v>-59.67</c:v>
                </c:pt>
                <c:pt idx="9">
                  <c:v>7065.79</c:v>
                </c:pt>
                <c:pt idx="10">
                  <c:v>-1239.42</c:v>
                </c:pt>
                <c:pt idx="11">
                  <c:v>-377.2700000000001</c:v>
                </c:pt>
                <c:pt idx="12">
                  <c:v>-259.24</c:v>
                </c:pt>
                <c:pt idx="13">
                  <c:v>-77.8</c:v>
                </c:pt>
                <c:pt idx="14">
                  <c:v>-458</c:v>
                </c:pt>
                <c:pt idx="15">
                  <c:v>-1691.8</c:v>
                </c:pt>
              </c:numCache>
            </c:numRef>
          </c:val>
          <c:extLst>
            <c:ext xmlns:c16="http://schemas.microsoft.com/office/drawing/2014/chart" uri="{C3380CC4-5D6E-409C-BE32-E72D297353CC}">
              <c16:uniqueId val="{00000000-F78F-4560-9436-71E545A15D1B}"/>
            </c:ext>
          </c:extLst>
        </c:ser>
        <c:ser>
          <c:idx val="1"/>
          <c:order val="1"/>
          <c:tx>
            <c:strRef>
              <c:f>'Pivot Tables'!$C$3</c:f>
              <c:strCache>
                <c:ptCount val="1"/>
                <c:pt idx="0">
                  <c:v>Transaction Count</c:v>
                </c:pt>
              </c:strCache>
            </c:strRef>
          </c:tx>
          <c:spPr>
            <a:solidFill>
              <a:schemeClr val="accent2"/>
            </a:solidFill>
            <a:ln>
              <a:noFill/>
            </a:ln>
            <a:effectLst/>
            <a:sp3d/>
          </c:spPr>
          <c:invertIfNegative val="0"/>
          <c:cat>
            <c:strRef>
              <c:f>'Pivot Tables'!$A$4:$A$20</c:f>
              <c:strCache>
                <c:ptCount val="16"/>
                <c:pt idx="0">
                  <c:v>Education</c:v>
                </c:pt>
                <c:pt idx="1">
                  <c:v>Entertainment</c:v>
                </c:pt>
                <c:pt idx="2">
                  <c:v>Fees &amp; Charges</c:v>
                </c:pt>
                <c:pt idx="3">
                  <c:v>Fitness</c:v>
                </c:pt>
                <c:pt idx="4">
                  <c:v>Food &amp; dining</c:v>
                </c:pt>
                <c:pt idx="5">
                  <c:v>Fuel</c:v>
                </c:pt>
                <c:pt idx="6">
                  <c:v>Groceries</c:v>
                </c:pt>
                <c:pt idx="7">
                  <c:v>Grooming</c:v>
                </c:pt>
                <c:pt idx="8">
                  <c:v>Healthcare</c:v>
                </c:pt>
                <c:pt idx="9">
                  <c:v>Income</c:v>
                </c:pt>
                <c:pt idx="10">
                  <c:v>Shopping</c:v>
                </c:pt>
                <c:pt idx="11">
                  <c:v>Subscription</c:v>
                </c:pt>
                <c:pt idx="12">
                  <c:v>Transfers</c:v>
                </c:pt>
                <c:pt idx="13">
                  <c:v>Transport</c:v>
                </c:pt>
                <c:pt idx="14">
                  <c:v>Uncategorized</c:v>
                </c:pt>
                <c:pt idx="15">
                  <c:v>Utilities</c:v>
                </c:pt>
              </c:strCache>
            </c:strRef>
          </c:cat>
          <c:val>
            <c:numRef>
              <c:f>'Pivot Tables'!$C$4:$C$20</c:f>
              <c:numCache>
                <c:formatCode>General</c:formatCode>
                <c:ptCount val="16"/>
                <c:pt idx="0">
                  <c:v>3</c:v>
                </c:pt>
                <c:pt idx="1">
                  <c:v>20</c:v>
                </c:pt>
                <c:pt idx="2">
                  <c:v>1</c:v>
                </c:pt>
                <c:pt idx="3">
                  <c:v>1</c:v>
                </c:pt>
                <c:pt idx="4">
                  <c:v>35</c:v>
                </c:pt>
                <c:pt idx="5">
                  <c:v>12</c:v>
                </c:pt>
                <c:pt idx="6">
                  <c:v>13</c:v>
                </c:pt>
                <c:pt idx="7">
                  <c:v>5</c:v>
                </c:pt>
                <c:pt idx="8">
                  <c:v>3</c:v>
                </c:pt>
                <c:pt idx="9">
                  <c:v>37</c:v>
                </c:pt>
                <c:pt idx="10">
                  <c:v>25</c:v>
                </c:pt>
                <c:pt idx="11">
                  <c:v>23</c:v>
                </c:pt>
                <c:pt idx="12">
                  <c:v>7</c:v>
                </c:pt>
                <c:pt idx="13">
                  <c:v>4</c:v>
                </c:pt>
                <c:pt idx="14">
                  <c:v>6</c:v>
                </c:pt>
                <c:pt idx="15">
                  <c:v>24</c:v>
                </c:pt>
              </c:numCache>
            </c:numRef>
          </c:val>
          <c:extLst>
            <c:ext xmlns:c16="http://schemas.microsoft.com/office/drawing/2014/chart" uri="{C3380CC4-5D6E-409C-BE32-E72D297353CC}">
              <c16:uniqueId val="{00000001-F78F-4560-9436-71E545A15D1B}"/>
            </c:ext>
          </c:extLst>
        </c:ser>
        <c:ser>
          <c:idx val="2"/>
          <c:order val="2"/>
          <c:tx>
            <c:strRef>
              <c:f>'Pivot Tables'!$D$3</c:f>
              <c:strCache>
                <c:ptCount val="1"/>
                <c:pt idx="0">
                  <c:v>Spend %</c:v>
                </c:pt>
              </c:strCache>
            </c:strRef>
          </c:tx>
          <c:spPr>
            <a:solidFill>
              <a:schemeClr val="accent3"/>
            </a:solidFill>
            <a:ln>
              <a:noFill/>
            </a:ln>
            <a:effectLst/>
            <a:sp3d/>
          </c:spPr>
          <c:invertIfNegative val="0"/>
          <c:cat>
            <c:strRef>
              <c:f>'Pivot Tables'!$A$4:$A$20</c:f>
              <c:strCache>
                <c:ptCount val="16"/>
                <c:pt idx="0">
                  <c:v>Education</c:v>
                </c:pt>
                <c:pt idx="1">
                  <c:v>Entertainment</c:v>
                </c:pt>
                <c:pt idx="2">
                  <c:v>Fees &amp; Charges</c:v>
                </c:pt>
                <c:pt idx="3">
                  <c:v>Fitness</c:v>
                </c:pt>
                <c:pt idx="4">
                  <c:v>Food &amp; dining</c:v>
                </c:pt>
                <c:pt idx="5">
                  <c:v>Fuel</c:v>
                </c:pt>
                <c:pt idx="6">
                  <c:v>Groceries</c:v>
                </c:pt>
                <c:pt idx="7">
                  <c:v>Grooming</c:v>
                </c:pt>
                <c:pt idx="8">
                  <c:v>Healthcare</c:v>
                </c:pt>
                <c:pt idx="9">
                  <c:v>Income</c:v>
                </c:pt>
                <c:pt idx="10">
                  <c:v>Shopping</c:v>
                </c:pt>
                <c:pt idx="11">
                  <c:v>Subscription</c:v>
                </c:pt>
                <c:pt idx="12">
                  <c:v>Transfers</c:v>
                </c:pt>
                <c:pt idx="13">
                  <c:v>Transport</c:v>
                </c:pt>
                <c:pt idx="14">
                  <c:v>Uncategorized</c:v>
                </c:pt>
                <c:pt idx="15">
                  <c:v>Utilities</c:v>
                </c:pt>
              </c:strCache>
            </c:strRef>
          </c:cat>
          <c:val>
            <c:numRef>
              <c:f>'Pivot Tables'!$D$4:$D$20</c:f>
              <c:numCache>
                <c:formatCode>0.00%</c:formatCode>
                <c:ptCount val="16"/>
                <c:pt idx="0">
                  <c:v>-7.4659631031981949E-2</c:v>
                </c:pt>
                <c:pt idx="1">
                  <c:v>-0.42140296463384808</c:v>
                </c:pt>
                <c:pt idx="2">
                  <c:v>-1.0070087811165628E-2</c:v>
                </c:pt>
                <c:pt idx="3">
                  <c:v>-8.0510352050269199E-2</c:v>
                </c:pt>
                <c:pt idx="4">
                  <c:v>-0.35596753403689385</c:v>
                </c:pt>
                <c:pt idx="5">
                  <c:v>-0.30401595101909035</c:v>
                </c:pt>
                <c:pt idx="6">
                  <c:v>-0.46468420204623778</c:v>
                </c:pt>
                <c:pt idx="7">
                  <c:v>-0.21162289535164563</c:v>
                </c:pt>
                <c:pt idx="8">
                  <c:v>-6.0088213969225299E-2</c:v>
                </c:pt>
                <c:pt idx="9">
                  <c:v>7.1153125755255981</c:v>
                </c:pt>
                <c:pt idx="10">
                  <c:v>-1.2481068234914903</c:v>
                </c:pt>
                <c:pt idx="11">
                  <c:v>-0.37991420285184574</c:v>
                </c:pt>
                <c:pt idx="12">
                  <c:v>-0.26105695641665772</c:v>
                </c:pt>
                <c:pt idx="13">
                  <c:v>-7.8345283170868571E-2</c:v>
                </c:pt>
                <c:pt idx="14">
                  <c:v>-0.4612100217513857</c:v>
                </c:pt>
                <c:pt idx="15">
                  <c:v>-1.7036574558930009</c:v>
                </c:pt>
              </c:numCache>
            </c:numRef>
          </c:val>
          <c:extLst>
            <c:ext xmlns:c16="http://schemas.microsoft.com/office/drawing/2014/chart" uri="{C3380CC4-5D6E-409C-BE32-E72D297353CC}">
              <c16:uniqueId val="{00000002-F78F-4560-9436-71E545A15D1B}"/>
            </c:ext>
          </c:extLst>
        </c:ser>
        <c:dLbls>
          <c:showLegendKey val="0"/>
          <c:showVal val="0"/>
          <c:showCatName val="0"/>
          <c:showSerName val="0"/>
          <c:showPercent val="0"/>
          <c:showBubbleSize val="0"/>
        </c:dLbls>
        <c:gapWidth val="219"/>
        <c:shape val="box"/>
        <c:axId val="240141872"/>
        <c:axId val="240142832"/>
        <c:axId val="0"/>
      </c:bar3DChart>
      <c:catAx>
        <c:axId val="24014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42832"/>
        <c:crosses val="autoZero"/>
        <c:auto val="1"/>
        <c:lblAlgn val="ctr"/>
        <c:lblOffset val="100"/>
        <c:noMultiLvlLbl val="0"/>
      </c:catAx>
      <c:valAx>
        <c:axId val="2401428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41872"/>
        <c:crosses val="autoZero"/>
        <c:crossBetween val="between"/>
      </c:valAx>
      <c:spPr>
        <a:noFill/>
        <a:ln>
          <a:noFill/>
        </a:ln>
        <a:effectLst/>
      </c:spPr>
    </c:plotArea>
    <c:legend>
      <c:legendPos val="r"/>
      <c:layout>
        <c:manualLayout>
          <c:xMode val="edge"/>
          <c:yMode val="edge"/>
          <c:x val="0.75764720034995625"/>
          <c:y val="9.6769830854476546E-2"/>
          <c:w val="0.24235275270143622"/>
          <c:h val="0.3197785614221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1187450</xdr:colOff>
      <xdr:row>8</xdr:row>
      <xdr:rowOff>25400</xdr:rowOff>
    </xdr:from>
    <xdr:to>
      <xdr:col>3</xdr:col>
      <xdr:colOff>1187450</xdr:colOff>
      <xdr:row>22</xdr:row>
      <xdr:rowOff>6350</xdr:rowOff>
    </xdr:to>
    <xdr:graphicFrame macro="">
      <xdr:nvGraphicFramePr>
        <xdr:cNvPr id="2" name="Chart 1">
          <a:extLst>
            <a:ext uri="{FF2B5EF4-FFF2-40B4-BE49-F238E27FC236}">
              <a16:creationId xmlns:a16="http://schemas.microsoft.com/office/drawing/2014/main" id="{668EE95F-48D8-C434-1513-29A4A1F04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377825</xdr:colOff>
      <xdr:row>8</xdr:row>
      <xdr:rowOff>41275</xdr:rowOff>
    </xdr:from>
    <xdr:to>
      <xdr:col>6</xdr:col>
      <xdr:colOff>1352550</xdr:colOff>
      <xdr:row>22</xdr:row>
      <xdr:rowOff>50800</xdr:rowOff>
    </xdr:to>
    <xdr:graphicFrame macro="">
      <xdr:nvGraphicFramePr>
        <xdr:cNvPr id="3" name="Chart 1">
          <a:extLst>
            <a:ext uri="{FF2B5EF4-FFF2-40B4-BE49-F238E27FC236}">
              <a16:creationId xmlns:a16="http://schemas.microsoft.com/office/drawing/2014/main" id="{AF959645-592B-012F-21E9-A6ADD41C4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241300</xdr:colOff>
      <xdr:row>8</xdr:row>
      <xdr:rowOff>31750</xdr:rowOff>
    </xdr:from>
    <xdr:to>
      <xdr:col>9</xdr:col>
      <xdr:colOff>234950</xdr:colOff>
      <xdr:row>22</xdr:row>
      <xdr:rowOff>107950</xdr:rowOff>
    </xdr:to>
    <mc:AlternateContent xmlns:mc="http://schemas.openxmlformats.org/markup-compatibility/2006" xmlns:a14="http://schemas.microsoft.com/office/drawing/2010/main">
      <mc:Choice Requires="a14">
        <xdr:graphicFrame macro="">
          <xdr:nvGraphicFramePr>
            <xdr:cNvPr id="4" name="Filter by Category">
              <a:extLst>
                <a:ext uri="{FF2B5EF4-FFF2-40B4-BE49-F238E27FC236}">
                  <a16:creationId xmlns:a16="http://schemas.microsoft.com/office/drawing/2014/main" id="{4DB661B8-3A91-4D3A-ABB3-34915239F506}"/>
                </a:ext>
              </a:extLst>
            </xdr:cNvPr>
            <xdr:cNvGraphicFramePr/>
          </xdr:nvGraphicFramePr>
          <xdr:xfrm>
            <a:off x="0" y="0"/>
            <a:ext cx="0" cy="0"/>
          </xdr:xfrm>
          <a:graphic>
            <a:graphicData uri="http://schemas.microsoft.com/office/drawing/2010/slicer">
              <sle:slicer xmlns:sle="http://schemas.microsoft.com/office/drawing/2010/slicer" name="Filter by Category"/>
            </a:graphicData>
          </a:graphic>
        </xdr:graphicFrame>
      </mc:Choice>
      <mc:Fallback xmlns="">
        <xdr:sp macro="" textlink="">
          <xdr:nvSpPr>
            <xdr:cNvPr id="0" name=""/>
            <xdr:cNvSpPr>
              <a:spLocks noTextEdit="1"/>
            </xdr:cNvSpPr>
          </xdr:nvSpPr>
          <xdr:spPr>
            <a:xfrm>
              <a:off x="8801100" y="1727200"/>
              <a:ext cx="1543050" cy="26543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400050</xdr:colOff>
      <xdr:row>24</xdr:row>
      <xdr:rowOff>63500</xdr:rowOff>
    </xdr:from>
    <xdr:to>
      <xdr:col>6</xdr:col>
      <xdr:colOff>844550</xdr:colOff>
      <xdr:row>30</xdr:row>
      <xdr:rowOff>146050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FAFAF030-B7FF-4D4D-8433-92DFCE10B60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930650" y="4705350"/>
              <a:ext cx="4032250" cy="1187450"/>
            </a:xfrm>
            <a:prstGeom prst="rect">
              <a:avLst/>
            </a:prstGeom>
            <a:solidFill>
              <a:prstClr val="white"/>
            </a:solidFill>
            <a:ln w="1">
              <a:solidFill>
                <a:prstClr val="green"/>
              </a:solidFill>
            </a:ln>
          </xdr:spPr>
          <xdr:txBody>
            <a:bodyPr vertOverflow="clip" horzOverflow="clip"/>
            <a:lstStyle/>
            <a:p>
              <a:r>
                <a:rPr lang="en-NZ"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5968.560392708336" createdVersion="8" refreshedVersion="8" minRefreshableVersion="3" recordCount="219" xr:uid="{5C5860C3-1588-4DB4-80CD-D3AE9F1ECE0C}">
  <cacheSource type="worksheet">
    <worksheetSource name="Export20251104132100"/>
  </cacheSource>
  <cacheFields count="12">
    <cacheField name="Date" numFmtId="14">
      <sharedItems containsSemiMixedTypes="0" containsNonDate="0" containsDate="1" containsString="0" minDate="2025-01-03T00:00:00" maxDate="2025-11-03T00:00:00" count="127">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6T00:00:00"/>
        <d v="2025-01-27T00:00:00"/>
        <d v="2025-01-28T00:00:00"/>
        <d v="2025-01-29T00:00:00"/>
        <d v="2025-01-30T00:00:00"/>
        <d v="2025-01-31T00:00:00"/>
        <d v="2025-02-01T00:00:00"/>
        <d v="2025-02-02T00:00:00"/>
        <d v="2025-02-03T00:00:00"/>
        <d v="2025-02-04T00:00:00"/>
        <d v="2025-02-05T00:00:00"/>
        <d v="2025-02-07T00:00:00"/>
        <d v="2025-02-08T00:00:00"/>
        <d v="2025-02-09T00:00:00"/>
        <d v="2025-02-10T00:00:00"/>
        <d v="2025-02-14T00:00:00"/>
        <d v="2025-02-16T00:00:00"/>
        <d v="2025-02-17T00:00:00"/>
        <d v="2025-02-18T00:00:00"/>
        <d v="2025-02-20T00:00:00"/>
        <d v="2025-02-22T00:00:00"/>
        <d v="2025-02-23T00:00:00"/>
        <d v="2025-02-25T00:00:00"/>
        <d v="2025-02-27T00:00:00"/>
        <d v="2025-03-01T00:00:00"/>
        <d v="2025-03-02T00:00:00"/>
        <d v="2025-03-03T00:00:00"/>
        <d v="2025-03-04T00:00:00"/>
        <d v="2025-03-05T00:00:00"/>
        <d v="2025-03-07T00:00:00"/>
        <d v="2025-03-12T00:00:00"/>
        <d v="2025-03-16T00:00:00"/>
        <d v="2025-03-18T00:00:00"/>
        <d v="2025-03-20T00:00:00"/>
        <d v="2025-03-25T00:00:00"/>
        <d v="2025-03-27T00:00:00"/>
        <d v="2025-04-02T00:00:00"/>
        <d v="2025-04-03T00:00:00"/>
        <d v="2025-04-04T00:00:00"/>
        <d v="2025-04-09T00:00:00"/>
        <d v="2025-04-12T00:00:00"/>
        <d v="2025-04-18T00:00:00"/>
        <d v="2025-04-22T00:00:00"/>
        <d v="2025-04-29T00:00:00"/>
        <d v="2025-04-30T00:00:00"/>
        <d v="2025-05-02T00:00:00"/>
        <d v="2025-05-03T00:00:00"/>
        <d v="2025-05-04T00:00:00"/>
        <d v="2025-05-18T00:00:00"/>
        <d v="2025-05-20T00:00:00"/>
        <d v="2025-05-23T00:00:00"/>
        <d v="2025-05-28T00:00:00"/>
        <d v="2025-05-30T00:00:00"/>
        <d v="2025-06-03T00:00:00"/>
        <d v="2025-06-07T00:00:00"/>
        <d v="2025-06-09T00:00:00"/>
        <d v="2025-06-11T00:00:00"/>
        <d v="2025-06-18T00:00:00"/>
        <d v="2025-06-21T00:00:00"/>
        <d v="2025-06-23T00:00:00"/>
        <d v="2025-06-25T00:00:00"/>
        <d v="2025-06-26T00:00:00"/>
        <d v="2025-06-29T00:00:00"/>
        <d v="2025-07-02T00:00:00"/>
        <d v="2025-07-04T00:00:00"/>
        <d v="2025-07-13T00:00:00"/>
        <d v="2025-07-15T00:00:00"/>
        <d v="2025-07-18T00:00:00"/>
        <d v="2025-07-21T00:00:00"/>
        <d v="2025-07-28T00:00:00"/>
        <d v="2025-08-02T00:00:00"/>
        <d v="2025-08-06T00:00:00"/>
        <d v="2025-08-15T00:00:00"/>
        <d v="2025-08-19T00:00:00"/>
        <d v="2025-08-20T00:00:00"/>
        <d v="2025-08-21T00:00:00"/>
        <d v="2025-08-25T00:00:00"/>
        <d v="2025-08-28T00:00:00"/>
        <d v="2025-08-29T00:00:00"/>
        <d v="2025-08-30T00:00:00"/>
        <d v="2025-09-01T00:00:00"/>
        <d v="2025-09-07T00:00:00"/>
        <d v="2025-09-09T00:00:00"/>
        <d v="2025-09-12T00:00:00"/>
        <d v="2025-09-13T00:00:00"/>
        <d v="2025-09-15T00:00:00"/>
        <d v="2025-09-19T00:00:00"/>
        <d v="2025-09-22T00:00:00"/>
        <d v="2025-09-23T00:00:00"/>
        <d v="2025-09-26T00:00:00"/>
        <d v="2025-09-27T00:00:00"/>
        <d v="2025-10-06T00:00:00"/>
        <d v="2025-10-13T00:00:00"/>
        <d v="2025-10-16T00:00:00"/>
        <d v="2025-10-17T00:00:00"/>
        <d v="2025-10-18T00:00:00"/>
        <d v="2025-10-19T00:00:00"/>
        <d v="2025-10-21T00:00:00"/>
        <d v="2025-10-22T00:00:00"/>
        <d v="2025-10-25T00:00:00"/>
        <d v="2025-10-26T00:00:00"/>
        <d v="2025-10-27T00:00:00"/>
        <d v="2025-10-28T00:00:00"/>
        <d v="2025-10-29T00:00:00"/>
        <d v="2025-10-30T00:00:00"/>
        <d v="2025-10-31T00:00:00"/>
        <d v="2025-11-01T00:00:00"/>
        <d v="2025-11-02T00:00:00"/>
      </sharedItems>
    </cacheField>
    <cacheField name="Month-year" numFmtId="14">
      <sharedItems count="11">
        <s v="2025-01"/>
        <s v="2025-02"/>
        <s v="2025-03"/>
        <s v="2025-04"/>
        <s v="2025-05"/>
        <s v="2025-06"/>
        <s v="2025-07"/>
        <s v="2025-08"/>
        <s v="2025-09"/>
        <s v="2025-10"/>
        <s v="2025-11"/>
      </sharedItems>
    </cacheField>
    <cacheField name="Unique Id" numFmtId="0">
      <sharedItems containsSemiMixedTypes="0" containsString="0" containsNumber="1" containsInteger="1" minValue="2025010301" maxValue="2025110203"/>
    </cacheField>
    <cacheField name="Tran Type" numFmtId="0">
      <sharedItems/>
    </cacheField>
    <cacheField name="Cheque Number" numFmtId="0">
      <sharedItems/>
    </cacheField>
    <cacheField name="Payee" numFmtId="0">
      <sharedItems/>
    </cacheField>
    <cacheField name="Merchant" numFmtId="0">
      <sharedItems count="74">
        <s v="Netflix"/>
        <s v="Spotify"/>
        <s v="Under Armour"/>
        <s v=" YD Auckland "/>
        <s v="Apple"/>
        <s v="Studylink"/>
        <s v=" Kokodak Chicken"/>
        <s v="Lindt "/>
        <s v="At Hop Manukau"/>
        <s v="Big boss"/>
        <s v="OffshoreServiceMargins Ser"/>
        <s v="PMT To Fc12"/>
        <s v="Steam"/>
        <s v="CUE City"/>
        <s v="The Taco Place"/>
        <s v="Food"/>
        <s v="Push Development"/>
        <s v="NEWSFEEDAUCKLAND Sfeedauc"/>
        <s v="Grammarly Co*6T3H0Hw At 0"/>
        <s v="BRISCOES Ma"/>
        <s v=" That Taco Place"/>
        <s v="That taco"/>
        <s v="ATM Atm Deposit"/>
        <s v="Pak N Save"/>
        <s v="Shein"/>
        <s v="Amazon"/>
        <s v="NOVELTY SWEETS"/>
        <s v="REBEL Rebel Botan"/>
        <s v="AMI Ami Insuran"/>
        <s v="D/C From"/>
        <s v="Chemist Warehouse Nz"/>
        <s v="Gamma.Appat 0"/>
        <s v="Southpoint family doctors"/>
        <s v="PMT To Fc06"/>
        <s v="BP"/>
        <s v="Sea Life Kelly"/>
        <s v="THE Mission"/>
        <s v="Www.Indiansupermarket"/>
        <s v="PMT To Fc01"/>
        <s v="Event Cinemas Manukau"/>
        <s v="Cascade"/>
        <s v="KATSUBI Man"/>
        <s v="New world"/>
        <s v="THIRSTY Liq"/>
        <s v="Ko Ko Dakma"/>
        <s v="EZI"/>
        <s v="Raz*Rigiat 49"/>
        <s v="Raz*Rigiat 0"/>
        <s v="D c"/>
        <s v="Netflix Netflix New"/>
        <s v="Subway"/>
        <s v="Nz Transportagency-Ecom"/>
        <s v="Chemsit Warehouse Nz"/>
        <s v="The Warehouse 405"/>
        <s v="Revolut"/>
        <s v="D/C From I.R.D"/>
        <s v="SMITS Coach"/>
        <s v="Pgenie India"/>
        <s v="Supportpdffiller.Com At 0"/>
        <s v="D/C From Usd 1"/>
        <s v="AT "/>
        <s v="Dept Of Internal"/>
        <s v="AWANUI Manu"/>
        <s v="Www.Chemistwarehouse.Co"/>
        <s v="D/C From Iag"/>
        <s v="STRANDBAGS "/>
        <s v="2DEGREES Mo"/>
        <s v="Woolworths Nz/Shop 99"/>
        <s v="Chemist War"/>
        <s v="FITNESS Fitness Plu"/>
        <s v="DEBITSUCCESS Itsucces"/>
        <s v="Z"/>
        <s v="Beverley Hills"/>
        <s v="D/C From Nzd 8"/>
      </sharedItems>
    </cacheField>
    <cacheField name="Category" numFmtId="0">
      <sharedItems count="16">
        <s v="Subscription"/>
        <s v="Shopping"/>
        <s v="Entertainment"/>
        <s v="Income"/>
        <s v="Food &amp; dining"/>
        <s v="Transport"/>
        <s v="Grooming"/>
        <s v="Utilities"/>
        <s v="Transfers"/>
        <s v="Education"/>
        <s v="Groceries"/>
        <s v="Healthcare"/>
        <s v="Fuel"/>
        <s v="Uncategorized"/>
        <s v="Fees &amp; Charges"/>
        <s v="Fitness"/>
      </sharedItems>
    </cacheField>
    <cacheField name="Memo" numFmtId="0">
      <sharedItems count="50">
        <s v="EFTPOS"/>
        <s v="STUDALLOW"/>
        <s v="LC PAYMENT"/>
        <s v="BILL PAYMENT TO nv"/>
        <s v="STUDALLOW 28485 516090069"/>
        <s v="LC PAYMENT REF:203818 SSV516090069"/>
        <s v="CARD 7315"/>
        <s v="BILL PAYMENT TO spring roll"/>
        <s v="D/D 4047200 25020-691735"/>
        <s v="STUDALLOW 28507 516090069"/>
        <s v="LC PAYMENT REF:203855 SSV516090069"/>
        <s v="BILL PAYMENT TO sleevs"/>
        <s v="STUDALLOW 28529 516090069"/>
        <s v="LC PAYMENT REF:203892 SSV516090069"/>
        <s v="BILL PAYMENT TO nandini"/>
        <s v="STUDALLOW 28551 516090069"/>
        <s v="LC PAYMENT REF:203929 SSV516090069"/>
        <s v="STUDALLOW 28571 516090069"/>
        <s v="LC PAYMENT REF:203961 SSV516090069"/>
        <s v="STUDALLOW 28593 516090069"/>
        <s v="LC PAYMENT REF:203998 SSV516090069"/>
        <s v="D/D 4047200 25051-938407"/>
        <s v="D/D 4047200 25079-171971"/>
        <s v="cash"/>
        <s v="money"/>
        <s v="money money money"/>
        <s v="D/D 4047200 25112-405128"/>
        <s v="BILL PAYMENT TO Pankaj Rawat"/>
        <s v="D/D 4047200 25140-606798"/>
        <s v="j"/>
        <s v="D29697488# INC 31/03/2025"/>
        <s v="D/D 4047200 25174-815760"/>
        <s v="jzjzk"/>
        <s v="SUPPORTPDFFI LLER.COM 855-7501663"/>
        <s v="D/D 4047200 25202-976414"/>
        <s v="D/D AMIInsurance 330160351170 MOTA01330204"/>
        <s v="m singh  help"/>
        <s v="m s  help"/>
        <s v="MOTA01330204 350120003956 AMIINSURANC"/>
        <s v="s d  help"/>
        <s v="m s  for grocery"/>
        <s v="m s  grocery"/>
        <s v="R s  help"/>
        <s v="BILL PAYMENT TO M Singh  Personal"/>
        <s v="BILL PAYMENT TO pankaj"/>
        <s v="D/D FITNESS PLUS A00KERFD0FRG FPMK887814"/>
        <s v="D/D FITNESS PLUS A00KERFD0FRH FPMK887814"/>
        <s v="m s  vegs"/>
        <s v="D/D FITNESS PLUS A00KGKA20F5D FPMK887814"/>
        <s v="AMAZON PRIME VIDEO NZ SINGAPORE"/>
      </sharedItems>
    </cacheField>
    <cacheField name="Amount" numFmtId="2">
      <sharedItems containsSemiMixedTypes="0" containsString="0" containsNumber="1" minValue="-470.2" maxValue="675"/>
    </cacheField>
    <cacheField name="Type" numFmtId="0">
      <sharedItems count="2">
        <s v="out"/>
        <s v="In"/>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3469524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5979.588617592592" createdVersion="8" refreshedVersion="8" minRefreshableVersion="3" recordCount="219" xr:uid="{2C2C709A-556A-485E-98DA-94E10F339062}">
  <cacheSource type="worksheet">
    <worksheetSource name="Export20251104132100"/>
  </cacheSource>
  <cacheFields count="11">
    <cacheField name="Date" numFmtId="14">
      <sharedItems containsSemiMixedTypes="0" containsNonDate="0" containsDate="1" containsString="0" minDate="2025-01-03T00:00:00" maxDate="2025-11-03T00:00:00"/>
    </cacheField>
    <cacheField name="Month-year" numFmtId="14">
      <sharedItems count="11">
        <s v="2025-01"/>
        <s v="2025-02"/>
        <s v="2025-03"/>
        <s v="2025-04"/>
        <s v="2025-05"/>
        <s v="2025-06"/>
        <s v="2025-07"/>
        <s v="2025-08"/>
        <s v="2025-09"/>
        <s v="2025-10"/>
        <s v="2025-11"/>
      </sharedItems>
    </cacheField>
    <cacheField name="Unique Id" numFmtId="0">
      <sharedItems containsSemiMixedTypes="0" containsString="0" containsNumber="1" containsInteger="1" minValue="2025010301" maxValue="2025110203"/>
    </cacheField>
    <cacheField name="Tran Type" numFmtId="0">
      <sharedItems/>
    </cacheField>
    <cacheField name="Cheque Number" numFmtId="0">
      <sharedItems/>
    </cacheField>
    <cacheField name="Payee" numFmtId="0">
      <sharedItems/>
    </cacheField>
    <cacheField name="Merchant" numFmtId="0">
      <sharedItems count="74">
        <s v="Netflix"/>
        <s v="Spotify"/>
        <s v="Under Armour"/>
        <s v=" YD Auckland "/>
        <s v="Apple"/>
        <s v="Studylink"/>
        <s v=" Kokodak Chicken"/>
        <s v="Lindt "/>
        <s v="At Hop Manukau"/>
        <s v="Big boss"/>
        <s v="OffshoreServiceMargins Ser"/>
        <s v="PMT To Fc12"/>
        <s v="Steam"/>
        <s v="CUE City"/>
        <s v="The Taco Place"/>
        <s v="Food"/>
        <s v="Push Development"/>
        <s v="NEWSFEEDAUCKLAND Sfeedauc"/>
        <s v="Grammarly Co*6T3H0Hw At 0"/>
        <s v="BRISCOES Ma"/>
        <s v=" That Taco Place"/>
        <s v="That taco"/>
        <s v="ATM Atm Deposit"/>
        <s v="Pak N Save"/>
        <s v="Shein"/>
        <s v="Amazon"/>
        <s v="NOVELTY SWEETS"/>
        <s v="REBEL Rebel Botan"/>
        <s v="AMI Ami Insuran"/>
        <s v="D/C From"/>
        <s v="Chemist Warehouse Nz"/>
        <s v="Gamma.Appat 0"/>
        <s v="Southpoint family doctors"/>
        <s v="PMT To Fc06"/>
        <s v="BP"/>
        <s v="Sea Life Kelly"/>
        <s v="THE Mission"/>
        <s v="Www.Indiansupermarket"/>
        <s v="PMT To Fc01"/>
        <s v="Event Cinemas Manukau"/>
        <s v="Cascade"/>
        <s v="KATSUBI Man"/>
        <s v="New world"/>
        <s v="THIRSTY Liq"/>
        <s v="Ko Ko Dakma"/>
        <s v="EZI"/>
        <s v="Raz*Rigiat 49"/>
        <s v="Raz*Rigiat 0"/>
        <s v="D c"/>
        <s v="Netflix Netflix New"/>
        <s v="Subway"/>
        <s v="Nz Transportagency-Ecom"/>
        <s v="Chemsit Warehouse Nz"/>
        <s v="The Warehouse 405"/>
        <s v="Revolut"/>
        <s v="D/C From I.R.D"/>
        <s v="SMITS Coach"/>
        <s v="Pgenie India"/>
        <s v="Supportpdffiller.Com At 0"/>
        <s v="D/C From Usd 1"/>
        <s v="AT "/>
        <s v="Dept Of Internal"/>
        <s v="AWANUI Manu"/>
        <s v="Www.Chemistwarehouse.Co"/>
        <s v="D/C From Iag"/>
        <s v="STRANDBAGS "/>
        <s v="2DEGREES Mo"/>
        <s v="Woolworths Nz/Shop 99"/>
        <s v="Chemist War"/>
        <s v="FITNESS Fitness Plu"/>
        <s v="DEBITSUCCESS Itsucces"/>
        <s v="Z"/>
        <s v="Beverley Hills"/>
        <s v="D/C From Nzd 8"/>
      </sharedItems>
    </cacheField>
    <cacheField name="Category" numFmtId="0">
      <sharedItems count="16">
        <s v="Subscription"/>
        <s v="Shopping"/>
        <s v="Entertainment"/>
        <s v="Income"/>
        <s v="Food &amp; dining"/>
        <s v="Transport"/>
        <s v="Grooming"/>
        <s v="Utilities"/>
        <s v="Transfers"/>
        <s v="Education"/>
        <s v="Groceries"/>
        <s v="Healthcare"/>
        <s v="Fuel"/>
        <s v="Uncategorized"/>
        <s v="Fees &amp; Charges"/>
        <s v="Fitness"/>
      </sharedItems>
    </cacheField>
    <cacheField name="Memo" numFmtId="0">
      <sharedItems/>
    </cacheField>
    <cacheField name="Amount" numFmtId="2">
      <sharedItems containsSemiMixedTypes="0" containsString="0" containsNumber="1" minValue="-470.2" maxValue="675"/>
    </cacheField>
    <cacheField name="Type" numFmtId="0">
      <sharedItems count="2">
        <s v="out"/>
        <s v="I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
  <r>
    <x v="0"/>
    <x v="0"/>
    <n v="2025010301"/>
    <s v="EFTPOS"/>
    <s v=""/>
    <s v="NETFLIX.COMLOS GATOS CA"/>
    <x v="0"/>
    <x v="0"/>
    <x v="0"/>
    <n v="-27.99"/>
    <x v="0"/>
    <m/>
  </r>
  <r>
    <x v="1"/>
    <x v="0"/>
    <n v="2025010401"/>
    <s v="EFTPOS"/>
    <s v=""/>
    <s v="Spotify P32F135D5B Stockholm"/>
    <x v="1"/>
    <x v="0"/>
    <x v="0"/>
    <n v="-8.99"/>
    <x v="0"/>
    <m/>
  </r>
  <r>
    <x v="2"/>
    <x v="0"/>
    <n v="2025010501"/>
    <s v="EFTPOS"/>
    <s v=""/>
    <s v="Under ArmourManawa Bay Auckland"/>
    <x v="2"/>
    <x v="1"/>
    <x v="0"/>
    <n v="-35.520000000000003"/>
    <x v="0"/>
    <m/>
  </r>
  <r>
    <x v="2"/>
    <x v="0"/>
    <n v="2025010502"/>
    <s v="EFTPOS"/>
    <s v=""/>
    <s v="YD AUCKLANDAIRPORT AUCKLAND"/>
    <x v="3"/>
    <x v="1"/>
    <x v="0"/>
    <n v="-39.99"/>
    <x v="0"/>
    <m/>
  </r>
  <r>
    <x v="3"/>
    <x v="0"/>
    <n v="2025010603"/>
    <s v="EFTPOS"/>
    <s v=""/>
    <s v="APPLE.COM/BILL SYDNEY"/>
    <x v="4"/>
    <x v="2"/>
    <x v="0"/>
    <n v="-22.99"/>
    <x v="0"/>
    <m/>
  </r>
  <r>
    <x v="3"/>
    <x v="0"/>
    <n v="2025010605"/>
    <s v="D/C"/>
    <s v=""/>
    <s v="D/C FROM STUDYLINK (MSD )"/>
    <x v="5"/>
    <x v="3"/>
    <x v="1"/>
    <n v="238.67"/>
    <x v="1"/>
    <m/>
  </r>
  <r>
    <x v="3"/>
    <x v="0"/>
    <n v="2025010604"/>
    <s v="D/C"/>
    <s v=""/>
    <s v="D/C FROM STUDYLINK (MSD)"/>
    <x v="5"/>
    <x v="3"/>
    <x v="2"/>
    <n v="77.72"/>
    <x v="1"/>
    <m/>
  </r>
  <r>
    <x v="3"/>
    <x v="0"/>
    <n v="2025010601"/>
    <s v="EFTPOS"/>
    <s v=""/>
    <s v="KOKODAK CHICKEN - UNATTE AUCKLAND"/>
    <x v="6"/>
    <x v="4"/>
    <x v="0"/>
    <n v="-18.989999999999998"/>
    <x v="0"/>
    <m/>
  </r>
  <r>
    <x v="3"/>
    <x v="0"/>
    <n v="2025010602"/>
    <s v="EFTPOS"/>
    <s v=""/>
    <s v="Lindt  Sprungli AUCKLAND"/>
    <x v="7"/>
    <x v="4"/>
    <x v="0"/>
    <n v="-16"/>
    <x v="0"/>
    <m/>
  </r>
  <r>
    <x v="4"/>
    <x v="0"/>
    <n v="2025010702"/>
    <s v="EFTPOS"/>
    <s v=""/>
    <s v="AT Hop Manukau Bus Manukau"/>
    <x v="8"/>
    <x v="5"/>
    <x v="0"/>
    <n v="-20"/>
    <x v="0"/>
    <m/>
  </r>
  <r>
    <x v="4"/>
    <x v="0"/>
    <n v="2025010701"/>
    <s v="EFTPOS"/>
    <s v=""/>
    <s v="BIG BOSS BARBER CHAPEL R AUCKLAND"/>
    <x v="9"/>
    <x v="6"/>
    <x v="0"/>
    <n v="-35.880000000000003"/>
    <x v="0"/>
    <m/>
  </r>
  <r>
    <x v="4"/>
    <x v="0"/>
    <n v="2025010705"/>
    <s v="EFTPOS"/>
    <s v=""/>
    <s v="OffshoreServiceMargins"/>
    <x v="10"/>
    <x v="7"/>
    <x v="0"/>
    <n v="-0.38"/>
    <x v="0"/>
    <m/>
  </r>
  <r>
    <x v="4"/>
    <x v="0"/>
    <n v="2025010703"/>
    <s v="BILLPAY"/>
    <s v=""/>
    <s v="PMT TO FC12-3083-0791904-50"/>
    <x v="11"/>
    <x v="8"/>
    <x v="3"/>
    <n v="-15"/>
    <x v="0"/>
    <m/>
  </r>
  <r>
    <x v="4"/>
    <x v="0"/>
    <n v="2025010704"/>
    <s v="EFTPOS"/>
    <s v=""/>
    <s v="Steam"/>
    <x v="12"/>
    <x v="2"/>
    <x v="0"/>
    <n v="-17.89"/>
    <x v="0"/>
    <m/>
  </r>
  <r>
    <x v="5"/>
    <x v="0"/>
    <n v="2025010802"/>
    <s v="EFTPOS"/>
    <s v=""/>
    <s v="CUE CITYAUCKLAND"/>
    <x v="13"/>
    <x v="2"/>
    <x v="0"/>
    <n v="-20.399999999999999"/>
    <x v="0"/>
    <m/>
  </r>
  <r>
    <x v="5"/>
    <x v="0"/>
    <n v="2025010801"/>
    <s v="EFTPOS"/>
    <s v=""/>
    <s v="That Taco Place On Q Auckland"/>
    <x v="14"/>
    <x v="4"/>
    <x v="0"/>
    <n v="-14"/>
    <x v="0"/>
    <m/>
  </r>
  <r>
    <x v="6"/>
    <x v="0"/>
    <n v="2025010904"/>
    <s v="EFTPOS"/>
    <s v=""/>
    <s v="AT Hop Auckland Auckland"/>
    <x v="8"/>
    <x v="5"/>
    <x v="0"/>
    <n v="-5"/>
    <x v="0"/>
    <m/>
  </r>
  <r>
    <x v="6"/>
    <x v="0"/>
    <n v="2025010905"/>
    <s v="EFTPOS"/>
    <s v=""/>
    <s v="AT Hop Manukau Bus Manukau"/>
    <x v="8"/>
    <x v="5"/>
    <x v="0"/>
    <n v="-50"/>
    <x v="0"/>
    <m/>
  </r>
  <r>
    <x v="6"/>
    <x v="0"/>
    <n v="2025010902"/>
    <s v="EFTPOS"/>
    <s v=""/>
    <s v="NEWSFEEDAUCKLAND"/>
    <x v="15"/>
    <x v="4"/>
    <x v="0"/>
    <n v="-3.8"/>
    <x v="0"/>
    <m/>
  </r>
  <r>
    <x v="6"/>
    <x v="0"/>
    <n v="2025010903"/>
    <s v="EFTPOS"/>
    <s v=""/>
    <s v="PUSH DEVELOPMENTS LOWER HUTT"/>
    <x v="16"/>
    <x v="4"/>
    <x v="0"/>
    <n v="-5.5"/>
    <x v="0"/>
    <m/>
  </r>
  <r>
    <x v="6"/>
    <x v="0"/>
    <n v="2025010901"/>
    <s v="EFTPOS"/>
    <s v=""/>
    <s v="REAL CAFE LIMITED AUCKLAND"/>
    <x v="15"/>
    <x v="4"/>
    <x v="0"/>
    <n v="-10.8"/>
    <x v="0"/>
    <m/>
  </r>
  <r>
    <x v="7"/>
    <x v="0"/>
    <n v="2025011001"/>
    <s v="EFTPOS"/>
    <s v=""/>
    <s v="NEWSFEEDAUCKLAND"/>
    <x v="17"/>
    <x v="4"/>
    <x v="0"/>
    <n v="-11.3"/>
    <x v="0"/>
    <m/>
  </r>
  <r>
    <x v="7"/>
    <x v="0"/>
    <n v="2025011002"/>
    <s v="EFTPOS"/>
    <s v=""/>
    <s v="NEWSFEEDAUCKLAND"/>
    <x v="17"/>
    <x v="4"/>
    <x v="0"/>
    <n v="-3.8"/>
    <x v="0"/>
    <m/>
  </r>
  <r>
    <x v="8"/>
    <x v="0"/>
    <n v="2025011102"/>
    <s v="EFTPOS"/>
    <s v=""/>
    <s v="NEWSFEEDAUCKLAND"/>
    <x v="17"/>
    <x v="4"/>
    <x v="0"/>
    <n v="-11.3"/>
    <x v="0"/>
    <m/>
  </r>
  <r>
    <x v="8"/>
    <x v="0"/>
    <n v="2025011103"/>
    <s v="EFTPOS"/>
    <s v=""/>
    <s v="NEWSFEEDAUCKLAND"/>
    <x v="17"/>
    <x v="4"/>
    <x v="0"/>
    <n v="-3.8"/>
    <x v="0"/>
    <m/>
  </r>
  <r>
    <x v="8"/>
    <x v="0"/>
    <n v="2025011101"/>
    <s v="EFTPOS"/>
    <s v=""/>
    <s v="PUSH DEVELOPMENTS LOWER HUTT"/>
    <x v="16"/>
    <x v="4"/>
    <x v="0"/>
    <n v="-5.5"/>
    <x v="0"/>
    <m/>
  </r>
  <r>
    <x v="9"/>
    <x v="0"/>
    <n v="2025011201"/>
    <s v="EFTPOS"/>
    <s v=""/>
    <s v="GRAMMARLY CO*6T3H0HW at 0.5541*"/>
    <x v="18"/>
    <x v="9"/>
    <x v="0"/>
    <n v="-54.14"/>
    <x v="0"/>
    <m/>
  </r>
  <r>
    <x v="9"/>
    <x v="0"/>
    <n v="2025011202"/>
    <s v="EFTPOS"/>
    <s v=""/>
    <s v="OffshoreServiceMargins"/>
    <x v="10"/>
    <x v="7"/>
    <x v="0"/>
    <n v="-1.1399999999999999"/>
    <x v="0"/>
    <m/>
  </r>
  <r>
    <x v="10"/>
    <x v="0"/>
    <n v="2025011301"/>
    <s v="D/C"/>
    <s v=""/>
    <s v="D/C FROM STUDYLINK (MSD )"/>
    <x v="5"/>
    <x v="3"/>
    <x v="4"/>
    <n v="238.67"/>
    <x v="1"/>
    <m/>
  </r>
  <r>
    <x v="10"/>
    <x v="0"/>
    <n v="2025011302"/>
    <s v="D/C"/>
    <s v=""/>
    <s v="D/C FROM STUDYLINK (MSD)"/>
    <x v="5"/>
    <x v="3"/>
    <x v="5"/>
    <n v="77.72"/>
    <x v="1"/>
    <m/>
  </r>
  <r>
    <x v="11"/>
    <x v="0"/>
    <n v="2025011401"/>
    <s v="EFTPOS"/>
    <s v=""/>
    <s v="BRISCOES MANUKAU AUCKLAND"/>
    <x v="19"/>
    <x v="1"/>
    <x v="0"/>
    <n v="-49.99"/>
    <x v="0"/>
    <m/>
  </r>
  <r>
    <x v="11"/>
    <x v="0"/>
    <n v="2025011402"/>
    <s v="EFTPOS"/>
    <s v=""/>
    <s v="That Taco Place On Q Auckland"/>
    <x v="20"/>
    <x v="4"/>
    <x v="0"/>
    <n v="-12.85"/>
    <x v="0"/>
    <m/>
  </r>
  <r>
    <x v="12"/>
    <x v="0"/>
    <n v="2025011503"/>
    <s v="EFTPOS"/>
    <s v=""/>
    <s v="NEWSFEEDAUCKLAND"/>
    <x v="17"/>
    <x v="4"/>
    <x v="0"/>
    <n v="-5.5"/>
    <x v="0"/>
    <m/>
  </r>
  <r>
    <x v="12"/>
    <x v="0"/>
    <n v="2025011501"/>
    <s v="EFTPOS"/>
    <s v=""/>
    <s v="PUSH DEVELOPMENTS LOWER HUTT"/>
    <x v="16"/>
    <x v="4"/>
    <x v="0"/>
    <n v="-3"/>
    <x v="0"/>
    <m/>
  </r>
  <r>
    <x v="12"/>
    <x v="0"/>
    <n v="2025011502"/>
    <s v="EFTPOS"/>
    <s v=""/>
    <s v="PUSH DEVELOPMENTS LOWER HUTT"/>
    <x v="16"/>
    <x v="4"/>
    <x v="0"/>
    <n v="-5.5"/>
    <x v="0"/>
    <m/>
  </r>
  <r>
    <x v="13"/>
    <x v="0"/>
    <n v="2025011604"/>
    <s v="EFTPOS"/>
    <s v=""/>
    <s v="NEWSFEEDAUCKLAND"/>
    <x v="17"/>
    <x v="4"/>
    <x v="0"/>
    <n v="-11.3"/>
    <x v="0"/>
    <m/>
  </r>
  <r>
    <x v="13"/>
    <x v="0"/>
    <n v="2025011602"/>
    <s v="EFTPOS"/>
    <s v=""/>
    <s v="PUSH DEVELOPMENTS LOWER HUTT"/>
    <x v="16"/>
    <x v="4"/>
    <x v="0"/>
    <n v="-5"/>
    <x v="0"/>
    <m/>
  </r>
  <r>
    <x v="13"/>
    <x v="0"/>
    <n v="2025011603"/>
    <s v="EFTPOS"/>
    <s v=""/>
    <s v="PUSH DEVELOPMENTS LOWER HUTT"/>
    <x v="16"/>
    <x v="4"/>
    <x v="0"/>
    <n v="-5"/>
    <x v="0"/>
    <m/>
  </r>
  <r>
    <x v="13"/>
    <x v="0"/>
    <n v="2025011601"/>
    <s v="EFTPOS"/>
    <s v=""/>
    <s v="That Taco Place On Q Auckland"/>
    <x v="21"/>
    <x v="4"/>
    <x v="0"/>
    <n v="-13"/>
    <x v="0"/>
    <m/>
  </r>
  <r>
    <x v="14"/>
    <x v="0"/>
    <n v="2025011704"/>
    <s v="TFR IN"/>
    <s v=""/>
    <s v="ATM DEPOSIT"/>
    <x v="22"/>
    <x v="3"/>
    <x v="6"/>
    <n v="30"/>
    <x v="1"/>
    <m/>
  </r>
  <r>
    <x v="14"/>
    <x v="0"/>
    <n v="2025011705"/>
    <s v="EFTPOS"/>
    <s v=""/>
    <s v="PAK N SAVE BOTANY AUCKLAND"/>
    <x v="23"/>
    <x v="10"/>
    <x v="0"/>
    <n v="-35.549999999999997"/>
    <x v="0"/>
    <m/>
  </r>
  <r>
    <x v="14"/>
    <x v="0"/>
    <n v="2025011701"/>
    <s v="EFTPOS"/>
    <s v=""/>
    <s v="PUSH DEVELOPMENTS LOWER HUTT"/>
    <x v="16"/>
    <x v="4"/>
    <x v="0"/>
    <n v="-3"/>
    <x v="0"/>
    <m/>
  </r>
  <r>
    <x v="14"/>
    <x v="0"/>
    <n v="2025011702"/>
    <s v="EFTPOS"/>
    <s v=""/>
    <s v="PUSH DEVELOPMENTS LOWER HUTT"/>
    <x v="16"/>
    <x v="4"/>
    <x v="0"/>
    <n v="-5.5"/>
    <x v="0"/>
    <m/>
  </r>
  <r>
    <x v="14"/>
    <x v="0"/>
    <n v="2025011703"/>
    <s v="EFTPOS"/>
    <s v=""/>
    <s v="PUSH DEVELOPMENTS LOWER HUTT"/>
    <x v="16"/>
    <x v="4"/>
    <x v="0"/>
    <n v="-3"/>
    <x v="0"/>
    <m/>
  </r>
  <r>
    <x v="14"/>
    <x v="0"/>
    <n v="2025011706"/>
    <s v="EFTPOS"/>
    <s v=""/>
    <s v="SHEIN.COMMELBOURNE"/>
    <x v="24"/>
    <x v="1"/>
    <x v="0"/>
    <n v="-18.899999999999999"/>
    <x v="0"/>
    <m/>
  </r>
  <r>
    <x v="15"/>
    <x v="0"/>
    <n v="2025011805"/>
    <s v="EFTPOS"/>
    <s v=""/>
    <s v="AMAZON PRIMEVIDEO NZ SINGAPORE"/>
    <x v="25"/>
    <x v="0"/>
    <x v="0"/>
    <n v="-10.99"/>
    <x v="0"/>
    <m/>
  </r>
  <r>
    <x v="15"/>
    <x v="0"/>
    <n v="2025011802"/>
    <s v="EFTPOS"/>
    <s v=""/>
    <s v="NOVELTY SWEETS BOTANY AUCKLAND"/>
    <x v="26"/>
    <x v="4"/>
    <x v="0"/>
    <n v="-17.34"/>
    <x v="0"/>
    <m/>
  </r>
  <r>
    <x v="15"/>
    <x v="0"/>
    <n v="2025011803"/>
    <s v="EFTPOS"/>
    <s v=""/>
    <s v="NOVELTY SWEETS BOTANY AUCKLAND"/>
    <x v="26"/>
    <x v="4"/>
    <x v="0"/>
    <n v="-37.74"/>
    <x v="0"/>
    <m/>
  </r>
  <r>
    <x v="15"/>
    <x v="0"/>
    <n v="2025011804"/>
    <s v="BILLPAY"/>
    <s v=""/>
    <s v="PMT TO FC12-3089-0372831-50"/>
    <x v="11"/>
    <x v="8"/>
    <x v="7"/>
    <n v="-6"/>
    <x v="0"/>
    <m/>
  </r>
  <r>
    <x v="15"/>
    <x v="0"/>
    <n v="2025011801"/>
    <s v="EFTPOS"/>
    <s v=""/>
    <s v="REBEL BOTANYAUCKLAND"/>
    <x v="27"/>
    <x v="1"/>
    <x v="0"/>
    <n v="-149.99"/>
    <x v="0"/>
    <m/>
  </r>
  <r>
    <x v="16"/>
    <x v="0"/>
    <n v="2025012001"/>
    <s v="D/D"/>
    <s v=""/>
    <s v="AMI Insurance"/>
    <x v="28"/>
    <x v="7"/>
    <x v="8"/>
    <n v="-130.72"/>
    <x v="0"/>
    <m/>
  </r>
  <r>
    <x v="16"/>
    <x v="0"/>
    <n v="2025012003"/>
    <s v="D/C"/>
    <s v=""/>
    <s v="D/C FROM STUDYLINK (MSD )"/>
    <x v="29"/>
    <x v="3"/>
    <x v="9"/>
    <n v="238.67"/>
    <x v="1"/>
    <m/>
  </r>
  <r>
    <x v="16"/>
    <x v="0"/>
    <n v="2025012002"/>
    <s v="D/C"/>
    <s v=""/>
    <s v="D/C FROM STUDYLINK (MSD)"/>
    <x v="5"/>
    <x v="3"/>
    <x v="10"/>
    <n v="77.72"/>
    <x v="1"/>
    <m/>
  </r>
  <r>
    <x v="17"/>
    <x v="0"/>
    <n v="2025012101"/>
    <s v="EFTPOS"/>
    <s v=""/>
    <s v="Chemist Warehouse NZ Onl Auckland"/>
    <x v="30"/>
    <x v="1"/>
    <x v="0"/>
    <n v="-86.98"/>
    <x v="0"/>
    <m/>
  </r>
  <r>
    <x v="17"/>
    <x v="0"/>
    <n v="2025012103"/>
    <s v="EFTPOS"/>
    <s v=""/>
    <s v="GAMMA.APPat 0.5577*"/>
    <x v="31"/>
    <x v="9"/>
    <x v="0"/>
    <n v="-17.93"/>
    <x v="0"/>
    <m/>
  </r>
  <r>
    <x v="17"/>
    <x v="0"/>
    <n v="2025012104"/>
    <s v="EFTPOS"/>
    <s v=""/>
    <s v="OffshoreServiceMargins"/>
    <x v="10"/>
    <x v="7"/>
    <x v="0"/>
    <n v="-0.38"/>
    <x v="0"/>
    <m/>
  </r>
  <r>
    <x v="17"/>
    <x v="0"/>
    <n v="2025012102"/>
    <s v="EFTPOS"/>
    <s v=""/>
    <s v="SOUTHPOINT FAMILY DOCTOR AUCKLAND"/>
    <x v="32"/>
    <x v="11"/>
    <x v="0"/>
    <n v="-19.89"/>
    <x v="0"/>
    <m/>
  </r>
  <r>
    <x v="18"/>
    <x v="0"/>
    <n v="2025012201"/>
    <s v="BILLPAY"/>
    <s v=""/>
    <s v="PMT TO FC06-0323-0731887-00"/>
    <x v="33"/>
    <x v="8"/>
    <x v="11"/>
    <n v="-5"/>
    <x v="0"/>
    <m/>
  </r>
  <r>
    <x v="19"/>
    <x v="0"/>
    <n v="2025012601"/>
    <s v="EFTPOS"/>
    <s v=""/>
    <s v="BP CONNECT PAKURANGA AUCKLAND"/>
    <x v="34"/>
    <x v="12"/>
    <x v="0"/>
    <n v="-11.4"/>
    <x v="0"/>
    <m/>
  </r>
  <r>
    <x v="20"/>
    <x v="0"/>
    <n v="2025012701"/>
    <s v="D/C"/>
    <s v=""/>
    <s v="D/C FROM STUDYLINK (MSD )"/>
    <x v="29"/>
    <x v="3"/>
    <x v="12"/>
    <n v="238.67"/>
    <x v="1"/>
    <m/>
  </r>
  <r>
    <x v="20"/>
    <x v="0"/>
    <n v="2025012702"/>
    <s v="D/C"/>
    <s v=""/>
    <s v="D/C FROM STUDYLINK (MSD)"/>
    <x v="5"/>
    <x v="3"/>
    <x v="13"/>
    <n v="77.72"/>
    <x v="1"/>
    <m/>
  </r>
  <r>
    <x v="21"/>
    <x v="0"/>
    <n v="2025012802"/>
    <s v="EFTPOS"/>
    <s v=""/>
    <s v="SEA LIFE KELLY TARLTONS AUCKLAND"/>
    <x v="35"/>
    <x v="2"/>
    <x v="0"/>
    <n v="-12"/>
    <x v="0"/>
    <m/>
  </r>
  <r>
    <x v="21"/>
    <x v="0"/>
    <n v="2025012803"/>
    <s v="EFTPOS"/>
    <s v=""/>
    <s v="SEA LIFE KELLY TARLTONS AUCKLAND"/>
    <x v="35"/>
    <x v="2"/>
    <x v="0"/>
    <n v="-36"/>
    <x v="0"/>
    <m/>
  </r>
  <r>
    <x v="21"/>
    <x v="0"/>
    <n v="2025012801"/>
    <s v="EFTPOS"/>
    <s v=""/>
    <s v="THE MISSIONTHAI AUCKLAND"/>
    <x v="36"/>
    <x v="2"/>
    <x v="0"/>
    <n v="-57.38"/>
    <x v="0"/>
    <m/>
  </r>
  <r>
    <x v="22"/>
    <x v="0"/>
    <n v="2025012901"/>
    <s v="EFTPOS"/>
    <s v=""/>
    <s v="WWW.INDIANSUPERMARKET. HAMILTON"/>
    <x v="37"/>
    <x v="10"/>
    <x v="0"/>
    <n v="-20.49"/>
    <x v="0"/>
    <m/>
  </r>
  <r>
    <x v="23"/>
    <x v="0"/>
    <n v="2025013001"/>
    <s v="BILLPAY"/>
    <s v=""/>
    <s v="PMT TO FC01-0286-0857295-00"/>
    <x v="38"/>
    <x v="8"/>
    <x v="14"/>
    <n v="-31"/>
    <x v="0"/>
    <m/>
  </r>
  <r>
    <x v="24"/>
    <x v="0"/>
    <n v="2025013101"/>
    <s v="EFTPOS"/>
    <s v=""/>
    <s v="BIG BOSS BARBER CHAPEL R AUCKLAND"/>
    <x v="9"/>
    <x v="6"/>
    <x v="0"/>
    <n v="-66.63"/>
    <x v="0"/>
    <m/>
  </r>
  <r>
    <x v="24"/>
    <x v="0"/>
    <n v="2025013102"/>
    <s v="EFTPOS"/>
    <s v=""/>
    <s v="BP CONNECT TAKANINI TAKANINI"/>
    <x v="34"/>
    <x v="12"/>
    <x v="0"/>
    <n v="-66"/>
    <x v="0"/>
    <m/>
  </r>
  <r>
    <x v="24"/>
    <x v="0"/>
    <n v="2025013103"/>
    <s v="EFTPOS"/>
    <s v=""/>
    <s v="EVENT CINEMAS MANUKAU MANUKAU CITY"/>
    <x v="39"/>
    <x v="2"/>
    <x v="0"/>
    <n v="-4"/>
    <x v="0"/>
    <m/>
  </r>
  <r>
    <x v="24"/>
    <x v="0"/>
    <n v="2025013104"/>
    <s v="EFTPOS"/>
    <s v=""/>
    <s v="EVENT CINEMAS MANUKAU MANUKAU CITY"/>
    <x v="39"/>
    <x v="2"/>
    <x v="0"/>
    <n v="-17.25"/>
    <x v="0"/>
    <m/>
  </r>
  <r>
    <x v="25"/>
    <x v="1"/>
    <n v="2025020101"/>
    <s v="EFTPOS"/>
    <s v=""/>
    <s v="Cascade Superette Pakuranga He"/>
    <x v="40"/>
    <x v="4"/>
    <x v="0"/>
    <n v="-4.6100000000000003"/>
    <x v="0"/>
    <m/>
  </r>
  <r>
    <x v="25"/>
    <x v="1"/>
    <n v="2025020102"/>
    <s v="EFTPOS"/>
    <s v=""/>
    <s v="KATSUBI MANUKAU AUCKLAND"/>
    <x v="41"/>
    <x v="4"/>
    <x v="0"/>
    <n v="-22.99"/>
    <x v="0"/>
    <m/>
  </r>
  <r>
    <x v="26"/>
    <x v="1"/>
    <n v="2025020201"/>
    <s v="EFTPOS"/>
    <s v=""/>
    <s v="BP CONNECT PAKURANGA AUCKLAND"/>
    <x v="34"/>
    <x v="12"/>
    <x v="0"/>
    <n v="-11.4"/>
    <x v="0"/>
    <m/>
  </r>
  <r>
    <x v="27"/>
    <x v="1"/>
    <n v="2025020303"/>
    <s v="D/C"/>
    <s v=""/>
    <s v="D/C FROM STUDYLINK (MSD )"/>
    <x v="29"/>
    <x v="3"/>
    <x v="15"/>
    <n v="238.67"/>
    <x v="1"/>
    <m/>
  </r>
  <r>
    <x v="27"/>
    <x v="1"/>
    <n v="2025020302"/>
    <s v="D/C"/>
    <s v=""/>
    <s v="D/C FROM STUDYLINK (MSD)"/>
    <x v="5"/>
    <x v="3"/>
    <x v="16"/>
    <n v="77.72"/>
    <x v="1"/>
    <m/>
  </r>
  <r>
    <x v="27"/>
    <x v="1"/>
    <n v="2025020301"/>
    <s v="EFTPOS"/>
    <s v=""/>
    <s v="NETFLIX.COMLOS GATOS CA"/>
    <x v="0"/>
    <x v="0"/>
    <x v="0"/>
    <n v="-27.99"/>
    <x v="0"/>
    <m/>
  </r>
  <r>
    <x v="28"/>
    <x v="1"/>
    <n v="2025020401"/>
    <s v="EFTPOS"/>
    <s v=""/>
    <s v="Spotify P33C5F0EAE Stockholm"/>
    <x v="1"/>
    <x v="0"/>
    <x v="0"/>
    <n v="-18.989999999999998"/>
    <x v="0"/>
    <m/>
  </r>
  <r>
    <x v="29"/>
    <x v="1"/>
    <n v="2025020501"/>
    <s v="EFTPOS"/>
    <s v=""/>
    <s v="Chemist Warehouse Ronwood Ctr"/>
    <x v="30"/>
    <x v="1"/>
    <x v="0"/>
    <n v="-101.98"/>
    <x v="0"/>
    <m/>
  </r>
  <r>
    <x v="30"/>
    <x v="1"/>
    <n v="2025020703"/>
    <s v="EFTPOS"/>
    <s v=""/>
    <s v="NEW WORLD SOUTHMALL MANUREWA"/>
    <x v="42"/>
    <x v="1"/>
    <x v="0"/>
    <n v="-15.56"/>
    <x v="0"/>
    <m/>
  </r>
  <r>
    <x v="30"/>
    <x v="1"/>
    <n v="2025020702"/>
    <s v="EFTPOS"/>
    <s v=""/>
    <s v="OffshoreServiceMargins"/>
    <x v="10"/>
    <x v="7"/>
    <x v="0"/>
    <n v="-0.37"/>
    <x v="0"/>
    <m/>
  </r>
  <r>
    <x v="30"/>
    <x v="1"/>
    <n v="2025020701"/>
    <s v="EFTPOS"/>
    <s v=""/>
    <s v="Steam"/>
    <x v="12"/>
    <x v="2"/>
    <x v="0"/>
    <n v="-17.7"/>
    <x v="0"/>
    <m/>
  </r>
  <r>
    <x v="31"/>
    <x v="1"/>
    <n v="2025020801"/>
    <s v="EFTPOS"/>
    <s v=""/>
    <s v="APPLE.COM/BILL SYDNEY"/>
    <x v="4"/>
    <x v="2"/>
    <x v="0"/>
    <n v="-22.99"/>
    <x v="0"/>
    <m/>
  </r>
  <r>
    <x v="31"/>
    <x v="1"/>
    <n v="2025020802"/>
    <s v="EFTPOS"/>
    <s v=""/>
    <s v="THIRSTY LIQUOR MANUREWA"/>
    <x v="43"/>
    <x v="4"/>
    <x v="0"/>
    <n v="-10.28"/>
    <x v="0"/>
    <m/>
  </r>
  <r>
    <x v="32"/>
    <x v="1"/>
    <n v="2025020901"/>
    <s v="EFTPOS"/>
    <s v=""/>
    <s v="BP CONNECT PAKURANGA AUCKLAND"/>
    <x v="34"/>
    <x v="12"/>
    <x v="0"/>
    <n v="-11"/>
    <x v="0"/>
    <m/>
  </r>
  <r>
    <x v="33"/>
    <x v="1"/>
    <n v="2025021001"/>
    <s v="D/C"/>
    <s v=""/>
    <s v="D/C FROM STUDYLINK (MSD )"/>
    <x v="29"/>
    <x v="3"/>
    <x v="17"/>
    <n v="238.67"/>
    <x v="1"/>
    <m/>
  </r>
  <r>
    <x v="33"/>
    <x v="1"/>
    <n v="2025021002"/>
    <s v="D/C"/>
    <s v=""/>
    <s v="D/C FROM STUDYLINK (MSD)"/>
    <x v="5"/>
    <x v="3"/>
    <x v="18"/>
    <n v="77.72"/>
    <x v="1"/>
    <m/>
  </r>
  <r>
    <x v="34"/>
    <x v="1"/>
    <n v="2025021403"/>
    <s v="EFTPOS"/>
    <s v=""/>
    <s v="EVENT CINEMAS MANUKAU MANUKAU CITY"/>
    <x v="39"/>
    <x v="2"/>
    <x v="0"/>
    <n v="-42.4"/>
    <x v="0"/>
    <m/>
  </r>
  <r>
    <x v="34"/>
    <x v="1"/>
    <n v="2025021402"/>
    <s v="EFTPOS"/>
    <s v=""/>
    <s v="Ko Ko DakManukau"/>
    <x v="44"/>
    <x v="4"/>
    <x v="0"/>
    <n v="-18.989999999999998"/>
    <x v="0"/>
    <m/>
  </r>
  <r>
    <x v="34"/>
    <x v="1"/>
    <n v="2025021401"/>
    <s v="EFTPOS"/>
    <s v=""/>
    <s v="PAK N SAVE MANUKAU AUCKLAND"/>
    <x v="23"/>
    <x v="10"/>
    <x v="0"/>
    <n v="-35.630000000000003"/>
    <x v="0"/>
    <m/>
  </r>
  <r>
    <x v="35"/>
    <x v="1"/>
    <n v="2025021601"/>
    <s v="EFTPOS"/>
    <s v=""/>
    <s v="BP CONNECT PAKURANGA AUCKLAND"/>
    <x v="34"/>
    <x v="12"/>
    <x v="0"/>
    <n v="-6.9"/>
    <x v="0"/>
    <m/>
  </r>
  <r>
    <x v="36"/>
    <x v="1"/>
    <n v="2025021701"/>
    <s v="D/C"/>
    <s v=""/>
    <s v="D/C FROM STUDYLINK (MSD )"/>
    <x v="29"/>
    <x v="3"/>
    <x v="19"/>
    <n v="238.67"/>
    <x v="1"/>
    <m/>
  </r>
  <r>
    <x v="36"/>
    <x v="1"/>
    <n v="2025021702"/>
    <s v="D/C"/>
    <s v=""/>
    <s v="D/C FROM STUDYLINK (MSD)"/>
    <x v="5"/>
    <x v="3"/>
    <x v="20"/>
    <n v="77.72"/>
    <x v="1"/>
    <m/>
  </r>
  <r>
    <x v="36"/>
    <x v="1"/>
    <n v="2025021703"/>
    <s v="EFTPOS"/>
    <s v=""/>
    <s v="EZI*HEALTH &amp;FITNESS Auckland"/>
    <x v="45"/>
    <x v="13"/>
    <x v="0"/>
    <n v="-260"/>
    <x v="0"/>
    <m/>
  </r>
  <r>
    <x v="37"/>
    <x v="1"/>
    <n v="2025021801"/>
    <s v="EFTPOS"/>
    <s v=""/>
    <s v="AMAZON PRIMEVIDEO NZ SINGAPORE"/>
    <x v="25"/>
    <x v="0"/>
    <x v="0"/>
    <n v="-10.99"/>
    <x v="0"/>
    <m/>
  </r>
  <r>
    <x v="38"/>
    <x v="1"/>
    <n v="2025022001"/>
    <s v="D/D"/>
    <s v=""/>
    <s v="AMI Insurance"/>
    <x v="28"/>
    <x v="7"/>
    <x v="21"/>
    <n v="-130.72"/>
    <x v="0"/>
    <m/>
  </r>
  <r>
    <x v="39"/>
    <x v="1"/>
    <n v="2025022201"/>
    <s v="EFTPOS"/>
    <s v=""/>
    <s v="Cascade Superette Pakuranga He"/>
    <x v="40"/>
    <x v="4"/>
    <x v="0"/>
    <n v="-4.6100000000000003"/>
    <x v="0"/>
    <m/>
  </r>
  <r>
    <x v="40"/>
    <x v="1"/>
    <n v="2025022301"/>
    <s v="EFTPOS"/>
    <s v=""/>
    <s v="BP CONNECT PAKURANGA AUCKLAND"/>
    <x v="4"/>
    <x v="2"/>
    <x v="0"/>
    <n v="-11.89"/>
    <x v="0"/>
    <m/>
  </r>
  <r>
    <x v="41"/>
    <x v="1"/>
    <n v="2025022501"/>
    <s v="EFTPOS"/>
    <s v=""/>
    <s v="APPLE.COM/BILL SYDNEY"/>
    <x v="4"/>
    <x v="2"/>
    <x v="0"/>
    <n v="-31.48"/>
    <x v="0"/>
    <m/>
  </r>
  <r>
    <x v="42"/>
    <x v="1"/>
    <n v="2025022702"/>
    <s v="EFTPOS"/>
    <s v=""/>
    <s v="OffshoreServiceMargins"/>
    <x v="10"/>
    <x v="7"/>
    <x v="0"/>
    <n v="-0.22"/>
    <x v="0"/>
    <m/>
  </r>
  <r>
    <x v="42"/>
    <x v="1"/>
    <n v="2025022701"/>
    <s v="EFTPOS"/>
    <s v=""/>
    <s v="RAZ*RIGIat 49.5146*"/>
    <x v="46"/>
    <x v="13"/>
    <x v="0"/>
    <n v="-10.3"/>
    <x v="0"/>
    <m/>
  </r>
  <r>
    <x v="43"/>
    <x v="2"/>
    <n v="2025030101"/>
    <s v="EFTPOS"/>
    <s v=""/>
    <s v="Cascade Superette Pakuranga He"/>
    <x v="40"/>
    <x v="4"/>
    <x v="0"/>
    <n v="-4.6100000000000003"/>
    <x v="0"/>
    <m/>
  </r>
  <r>
    <x v="43"/>
    <x v="2"/>
    <n v="2025030103"/>
    <s v="EFTPOS"/>
    <s v=""/>
    <s v="OffshoreServiceMargins"/>
    <x v="10"/>
    <x v="7"/>
    <x v="0"/>
    <n v="-0.56999999999999995"/>
    <x v="0"/>
    <m/>
  </r>
  <r>
    <x v="43"/>
    <x v="2"/>
    <n v="2025030102"/>
    <s v="EFTPOS"/>
    <s v=""/>
    <s v="RAZ*RIGIat 0.5628*"/>
    <x v="47"/>
    <x v="13"/>
    <x v="0"/>
    <n v="-27.24"/>
    <x v="0"/>
    <m/>
  </r>
  <r>
    <x v="44"/>
    <x v="2"/>
    <n v="2025030201"/>
    <s v="EFTPOS"/>
    <s v=""/>
    <s v="BP CONNECT PAKURANGA AUCKLAND"/>
    <x v="34"/>
    <x v="12"/>
    <x v="0"/>
    <n v="-10.7"/>
    <x v="0"/>
    <m/>
  </r>
  <r>
    <x v="45"/>
    <x v="2"/>
    <n v="2025030301"/>
    <s v="EFTPOS"/>
    <s v=""/>
    <s v="NETFLIX.COMLOS GATOS CA"/>
    <x v="0"/>
    <x v="0"/>
    <x v="0"/>
    <n v="-27.99"/>
    <x v="0"/>
    <m/>
  </r>
  <r>
    <x v="46"/>
    <x v="2"/>
    <n v="2025030401"/>
    <s v="EFTPOS"/>
    <s v=""/>
    <s v="Spotify P34993A1C6 Stockholm"/>
    <x v="1"/>
    <x v="0"/>
    <x v="0"/>
    <n v="-18.989999999999998"/>
    <x v="0"/>
    <m/>
  </r>
  <r>
    <x v="47"/>
    <x v="2"/>
    <n v="2025030501"/>
    <s v="EFTPOS"/>
    <s v=""/>
    <s v="NEW WORLD SOUTHMALL MANUREWA"/>
    <x v="42"/>
    <x v="1"/>
    <x v="0"/>
    <n v="-10.58"/>
    <x v="0"/>
    <m/>
  </r>
  <r>
    <x v="48"/>
    <x v="2"/>
    <n v="2025030702"/>
    <s v="EFTPOS"/>
    <s v=""/>
    <s v="OffshoreServiceMargins"/>
    <x v="10"/>
    <x v="7"/>
    <x v="0"/>
    <n v="-0.37"/>
    <x v="0"/>
    <m/>
  </r>
  <r>
    <x v="48"/>
    <x v="2"/>
    <n v="2025030701"/>
    <s v="EFTPOS"/>
    <s v=""/>
    <s v="Steam"/>
    <x v="12"/>
    <x v="2"/>
    <x v="0"/>
    <n v="-17.73"/>
    <x v="0"/>
    <m/>
  </r>
  <r>
    <x v="49"/>
    <x v="2"/>
    <n v="2025031202"/>
    <s v="TFR IN"/>
    <s v=""/>
    <s v="ATM DEPOSIT"/>
    <x v="22"/>
    <x v="3"/>
    <x v="6"/>
    <n v="130"/>
    <x v="1"/>
    <m/>
  </r>
  <r>
    <x v="49"/>
    <x v="2"/>
    <n v="2025031201"/>
    <s v="EFTPOS"/>
    <s v=""/>
    <s v="Chemist Warehouse Ronwood Ctr"/>
    <x v="30"/>
    <x v="1"/>
    <x v="0"/>
    <n v="-55"/>
    <x v="0"/>
    <m/>
  </r>
  <r>
    <x v="50"/>
    <x v="2"/>
    <n v="2025031601"/>
    <s v="EFTPOS"/>
    <s v=""/>
    <s v="BP CONNECT PAKURANGA AUCKLAND"/>
    <x v="34"/>
    <x v="12"/>
    <x v="0"/>
    <n v="-11.89"/>
    <x v="0"/>
    <m/>
  </r>
  <r>
    <x v="51"/>
    <x v="2"/>
    <n v="2025031801"/>
    <s v="EFTPOS"/>
    <s v=""/>
    <s v="AMAZON PRIMEVIDEO NZ SINGAPORE"/>
    <x v="25"/>
    <x v="0"/>
    <x v="0"/>
    <n v="-10.99"/>
    <x v="0"/>
    <m/>
  </r>
  <r>
    <x v="52"/>
    <x v="2"/>
    <n v="2025032001"/>
    <s v="D/D"/>
    <s v=""/>
    <s v="AMI Insurance"/>
    <x v="28"/>
    <x v="7"/>
    <x v="22"/>
    <n v="-130.72"/>
    <x v="0"/>
    <m/>
  </r>
  <r>
    <x v="53"/>
    <x v="2"/>
    <n v="2025032501"/>
    <s v="EFTPOS"/>
    <s v=""/>
    <s v="Chemist Warehouse Ronwood Ctr"/>
    <x v="30"/>
    <x v="1"/>
    <x v="0"/>
    <n v="-31.98"/>
    <x v="0"/>
    <m/>
  </r>
  <r>
    <x v="54"/>
    <x v="2"/>
    <n v="2025032701"/>
    <s v="EFTPOS"/>
    <s v=""/>
    <s v="APPLE.COM/BILL SYDNEY"/>
    <x v="4"/>
    <x v="2"/>
    <x v="0"/>
    <n v="-1.99"/>
    <x v="0"/>
    <m/>
  </r>
  <r>
    <x v="55"/>
    <x v="3"/>
    <n v="2025040202"/>
    <s v="D/C"/>
    <s v=""/>
    <s v="D/C FROM From MR N RAWAT"/>
    <x v="48"/>
    <x v="3"/>
    <x v="23"/>
    <n v="130"/>
    <x v="1"/>
    <m/>
  </r>
  <r>
    <x v="56"/>
    <x v="3"/>
    <n v="2025040301"/>
    <s v="EFTPOS"/>
    <s v=""/>
    <s v="Netflix NewZealand -"/>
    <x v="49"/>
    <x v="0"/>
    <x v="0"/>
    <n v="-27.99"/>
    <x v="0"/>
    <m/>
  </r>
  <r>
    <x v="57"/>
    <x v="3"/>
    <n v="2025040401"/>
    <s v="EFTPOS"/>
    <s v=""/>
    <s v="Spotify P358BE53AA Stockholm"/>
    <x v="1"/>
    <x v="0"/>
    <x v="0"/>
    <n v="-18.989999999999998"/>
    <x v="0"/>
    <m/>
  </r>
  <r>
    <x v="58"/>
    <x v="3"/>
    <n v="2025040902"/>
    <s v="D/C"/>
    <s v=""/>
    <s v="D/C FROM From MR N RAWAT"/>
    <x v="48"/>
    <x v="3"/>
    <x v="24"/>
    <n v="150"/>
    <x v="1"/>
    <m/>
  </r>
  <r>
    <x v="58"/>
    <x v="3"/>
    <n v="2025040903"/>
    <s v="D/C"/>
    <s v=""/>
    <s v="D/C FROM From MS N RAWAT"/>
    <x v="48"/>
    <x v="3"/>
    <x v="25"/>
    <n v="150"/>
    <x v="1"/>
    <m/>
  </r>
  <r>
    <x v="58"/>
    <x v="3"/>
    <n v="2025040901"/>
    <s v="EFTPOS"/>
    <s v=""/>
    <s v="SUBWAY CALTEX PAPATOETOE AUCKLAND"/>
    <x v="50"/>
    <x v="4"/>
    <x v="0"/>
    <n v="-25.6"/>
    <x v="0"/>
    <m/>
  </r>
  <r>
    <x v="59"/>
    <x v="3"/>
    <n v="2025041201"/>
    <s v="EFTPOS"/>
    <s v=""/>
    <s v="NZ TRANSPORTAGENCY-ECOM PALMERSTON N"/>
    <x v="51"/>
    <x v="7"/>
    <x v="0"/>
    <n v="-135.84"/>
    <x v="0"/>
    <m/>
  </r>
  <r>
    <x v="60"/>
    <x v="3"/>
    <n v="2025041801"/>
    <s v="EFTPOS"/>
    <s v=""/>
    <s v="AMAZON PRIMEVIDEO NZ SINGAPORE"/>
    <x v="25"/>
    <x v="0"/>
    <x v="0"/>
    <n v="-10.99"/>
    <x v="0"/>
    <m/>
  </r>
  <r>
    <x v="60"/>
    <x v="3"/>
    <n v="2025041803"/>
    <s v="EFTPOS"/>
    <s v=""/>
    <s v="OffshoreServiceMargins"/>
    <x v="10"/>
    <x v="7"/>
    <x v="0"/>
    <n v="-0.36"/>
    <x v="0"/>
    <m/>
  </r>
  <r>
    <x v="60"/>
    <x v="3"/>
    <n v="2025041802"/>
    <s v="EFTPOS"/>
    <s v=""/>
    <s v="Steam"/>
    <x v="12"/>
    <x v="2"/>
    <x v="0"/>
    <n v="-16.98"/>
    <x v="0"/>
    <m/>
  </r>
  <r>
    <x v="61"/>
    <x v="3"/>
    <n v="2025042201"/>
    <s v="D/D"/>
    <s v=""/>
    <s v="AMI Insurance"/>
    <x v="28"/>
    <x v="7"/>
    <x v="26"/>
    <n v="-130.72"/>
    <x v="0"/>
    <m/>
  </r>
  <r>
    <x v="62"/>
    <x v="3"/>
    <n v="2025042901"/>
    <s v="EFTPOS"/>
    <s v=""/>
    <s v="PAK N SAVE MANUKAU AUCKLAND"/>
    <x v="23"/>
    <x v="10"/>
    <x v="0"/>
    <n v="-15.98"/>
    <x v="0"/>
    <m/>
  </r>
  <r>
    <x v="63"/>
    <x v="3"/>
    <n v="2025043001"/>
    <s v="BILLPAY"/>
    <s v=""/>
    <s v="PMT TO FC06-0594-0194964-00"/>
    <x v="33"/>
    <x v="8"/>
    <x v="27"/>
    <n v="-15"/>
    <x v="0"/>
    <m/>
  </r>
  <r>
    <x v="64"/>
    <x v="4"/>
    <n v="2025050201"/>
    <s v="EFTPOS"/>
    <s v=""/>
    <s v="Chemist Warehouse Ronwood Ctr"/>
    <x v="52"/>
    <x v="1"/>
    <x v="0"/>
    <n v="-16.989999999999998"/>
    <x v="0"/>
    <m/>
  </r>
  <r>
    <x v="65"/>
    <x v="4"/>
    <n v="2025050301"/>
    <s v="EFTPOS"/>
    <s v=""/>
    <s v="NETFLIX.COMLOS GATOS CA"/>
    <x v="0"/>
    <x v="0"/>
    <x v="0"/>
    <n v="-27.99"/>
    <x v="0"/>
    <m/>
  </r>
  <r>
    <x v="66"/>
    <x v="4"/>
    <n v="2025050401"/>
    <s v="EFTPOS"/>
    <s v=""/>
    <s v="Spotify P367654656 Stockholm"/>
    <x v="1"/>
    <x v="0"/>
    <x v="0"/>
    <n v="-18.989999999999998"/>
    <x v="0"/>
    <m/>
  </r>
  <r>
    <x v="67"/>
    <x v="4"/>
    <n v="2025051801"/>
    <s v="EFTPOS"/>
    <s v=""/>
    <s v="AMAZON PRIMEVIDEO NZ SINGAPORE"/>
    <x v="25"/>
    <x v="0"/>
    <x v="0"/>
    <n v="-10.99"/>
    <x v="0"/>
    <m/>
  </r>
  <r>
    <x v="67"/>
    <x v="4"/>
    <n v="2025051803"/>
    <s v="EFTPOS"/>
    <s v=""/>
    <s v="OffshoreServiceMargins"/>
    <x v="10"/>
    <x v="7"/>
    <x v="0"/>
    <n v="-0.36"/>
    <x v="0"/>
    <m/>
  </r>
  <r>
    <x v="67"/>
    <x v="4"/>
    <n v="2025051802"/>
    <s v="EFTPOS"/>
    <s v=""/>
    <s v="Steam"/>
    <x v="12"/>
    <x v="2"/>
    <x v="0"/>
    <n v="-17.05"/>
    <x v="0"/>
    <m/>
  </r>
  <r>
    <x v="68"/>
    <x v="4"/>
    <n v="2025052001"/>
    <s v="D/D"/>
    <s v=""/>
    <s v="AMI Insurance"/>
    <x v="28"/>
    <x v="7"/>
    <x v="28"/>
    <n v="-130.72"/>
    <x v="0"/>
    <m/>
  </r>
  <r>
    <x v="69"/>
    <x v="4"/>
    <n v="2025052301"/>
    <s v="EFTPOS"/>
    <s v=""/>
    <s v="Chemist Warehouse Manukau"/>
    <x v="30"/>
    <x v="1"/>
    <x v="0"/>
    <n v="-18.989999999999998"/>
    <x v="0"/>
    <m/>
  </r>
  <r>
    <x v="69"/>
    <x v="4"/>
    <n v="2025052303"/>
    <s v="D/C"/>
    <s v=""/>
    <s v="D/C FROM From MR N RAWAT"/>
    <x v="48"/>
    <x v="3"/>
    <x v="29"/>
    <n v="150"/>
    <x v="1"/>
    <m/>
  </r>
  <r>
    <x v="70"/>
    <x v="4"/>
    <n v="2025052801"/>
    <s v="EFTPOS"/>
    <s v=""/>
    <s v="THE WAREHOUSE 405 MANUKA AUCKLAND"/>
    <x v="53"/>
    <x v="1"/>
    <x v="0"/>
    <n v="-5"/>
    <x v="0"/>
    <m/>
  </r>
  <r>
    <x v="71"/>
    <x v="4"/>
    <n v="2025053001"/>
    <s v="EFTPOS"/>
    <s v=""/>
    <s v="PAK N SAVE MANUKAU AUCKLAND"/>
    <x v="23"/>
    <x v="10"/>
    <x v="0"/>
    <n v="-13.28"/>
    <x v="0"/>
    <m/>
  </r>
  <r>
    <x v="72"/>
    <x v="5"/>
    <n v="2025060301"/>
    <s v="EFTPOS"/>
    <s v=""/>
    <s v="NETFLIX.COMLOS GATOS CA"/>
    <x v="0"/>
    <x v="0"/>
    <x v="0"/>
    <n v="-33.99"/>
    <x v="0"/>
    <m/>
  </r>
  <r>
    <x v="72"/>
    <x v="5"/>
    <n v="2025060302"/>
    <s v="EFTPOS"/>
    <s v=""/>
    <s v="PAK N SAVE ORMISTON AUCKLAND"/>
    <x v="23"/>
    <x v="10"/>
    <x v="0"/>
    <n v="-23.76"/>
    <x v="0"/>
    <m/>
  </r>
  <r>
    <x v="73"/>
    <x v="5"/>
    <n v="2025060701"/>
    <s v="EFTPOS"/>
    <s v=""/>
    <s v="Revolut**9418* Wellington"/>
    <x v="54"/>
    <x v="14"/>
    <x v="0"/>
    <n v="-10"/>
    <x v="0"/>
    <m/>
  </r>
  <r>
    <x v="74"/>
    <x v="5"/>
    <n v="2025060901"/>
    <s v="D/C"/>
    <s v=""/>
    <s v="D/C FROM I.R.D. 126-890-230"/>
    <x v="55"/>
    <x v="3"/>
    <x v="30"/>
    <n v="555.70000000000005"/>
    <x v="1"/>
    <m/>
  </r>
  <r>
    <x v="74"/>
    <x v="5"/>
    <n v="2025060902"/>
    <s v="EFTPOS"/>
    <s v=""/>
    <s v="SMITS COACHING MOLDE"/>
    <x v="56"/>
    <x v="13"/>
    <x v="0"/>
    <n v="-170.57"/>
    <x v="0"/>
    <m/>
  </r>
  <r>
    <x v="75"/>
    <x v="5"/>
    <n v="2025061101"/>
    <s v="EFTPOS"/>
    <s v=""/>
    <s v="PAK N SAVE MANUKAU AUCKLAND"/>
    <x v="23"/>
    <x v="10"/>
    <x v="0"/>
    <n v="-27.15"/>
    <x v="0"/>
    <m/>
  </r>
  <r>
    <x v="76"/>
    <x v="5"/>
    <n v="2025061801"/>
    <s v="EFTPOS"/>
    <s v=""/>
    <s v="AMAZON PRIMEVIDEO NZ SINGAPORE"/>
    <x v="25"/>
    <x v="0"/>
    <x v="0"/>
    <n v="-10.99"/>
    <x v="0"/>
    <m/>
  </r>
  <r>
    <x v="76"/>
    <x v="5"/>
    <n v="2025061802"/>
    <s v="EFTPOS"/>
    <s v=""/>
    <s v="PAK N SAVE MANUKAU AUCKLAND"/>
    <x v="23"/>
    <x v="10"/>
    <x v="0"/>
    <n v="-31.45"/>
    <x v="0"/>
    <m/>
  </r>
  <r>
    <x v="77"/>
    <x v="5"/>
    <n v="2025062101"/>
    <s v="EFTPOS"/>
    <s v=""/>
    <s v="BIG BOSS BARBER CHAPEL R AUCKLAND"/>
    <x v="9"/>
    <x v="6"/>
    <x v="0"/>
    <n v="-35.880000000000003"/>
    <x v="0"/>
    <m/>
  </r>
  <r>
    <x v="77"/>
    <x v="5"/>
    <n v="2025062102"/>
    <s v="EFTPOS"/>
    <s v=""/>
    <s v="Pgenie IndiaPrivate Lim Gurgaon"/>
    <x v="57"/>
    <x v="10"/>
    <x v="0"/>
    <n v="-10.83"/>
    <x v="0"/>
    <m/>
  </r>
  <r>
    <x v="78"/>
    <x v="5"/>
    <n v="2025062301"/>
    <s v="D/D"/>
    <s v=""/>
    <s v="AMI Insurance"/>
    <x v="28"/>
    <x v="7"/>
    <x v="31"/>
    <n v="-130.72"/>
    <x v="0"/>
    <m/>
  </r>
  <r>
    <x v="79"/>
    <x v="5"/>
    <n v="2025062501"/>
    <s v="D/C"/>
    <s v=""/>
    <s v="D/C FROM From MR N RAWAT"/>
    <x v="48"/>
    <x v="3"/>
    <x v="32"/>
    <n v="130"/>
    <x v="1"/>
    <m/>
  </r>
  <r>
    <x v="80"/>
    <x v="5"/>
    <n v="2025062601"/>
    <s v="EFTPOS"/>
    <s v=""/>
    <s v="SOUTHPOINT FAMILY DOCTOR AUCKLAND"/>
    <x v="32"/>
    <x v="11"/>
    <x v="0"/>
    <n v="-19.89"/>
    <x v="0"/>
    <m/>
  </r>
  <r>
    <x v="81"/>
    <x v="5"/>
    <n v="2025062902"/>
    <s v="EFTPOS"/>
    <s v=""/>
    <s v="OffshoreServiceMargins"/>
    <x v="10"/>
    <x v="7"/>
    <x v="0"/>
    <n v="-0.35"/>
    <x v="0"/>
    <m/>
  </r>
  <r>
    <x v="81"/>
    <x v="5"/>
    <n v="2025062901"/>
    <s v="EFTPOS"/>
    <s v=""/>
    <s v="Steam"/>
    <x v="12"/>
    <x v="2"/>
    <x v="0"/>
    <n v="-16.55"/>
    <x v="0"/>
    <m/>
  </r>
  <r>
    <x v="82"/>
    <x v="6"/>
    <n v="2025070202"/>
    <s v="EFTPOS"/>
    <s v=""/>
    <s v="OffshoreServiceMargins"/>
    <x v="10"/>
    <x v="7"/>
    <x v="0"/>
    <n v="-0.04"/>
    <x v="0"/>
    <m/>
  </r>
  <r>
    <x v="82"/>
    <x v="6"/>
    <n v="2025070201"/>
    <s v="EFTPOS"/>
    <s v=""/>
    <s v="SUPPORTPDFFILLER.COM at 0.6039*"/>
    <x v="58"/>
    <x v="9"/>
    <x v="0"/>
    <n v="-2.0699999999999998"/>
    <x v="0"/>
    <m/>
  </r>
  <r>
    <x v="83"/>
    <x v="6"/>
    <n v="2025070402"/>
    <s v="D/C"/>
    <s v=""/>
    <s v="D/C FROM USD 1.25"/>
    <x v="59"/>
    <x v="13"/>
    <x v="33"/>
    <n v="2.0499999999999998"/>
    <x v="1"/>
    <m/>
  </r>
  <r>
    <x v="83"/>
    <x v="6"/>
    <n v="2025070401"/>
    <s v="EFTPOS"/>
    <s v=""/>
    <s v="PAK N SAVE MANUKAU AUCKLAND"/>
    <x v="23"/>
    <x v="10"/>
    <x v="0"/>
    <n v="-18.07"/>
    <x v="0"/>
    <m/>
  </r>
  <r>
    <x v="84"/>
    <x v="6"/>
    <n v="2025071301"/>
    <s v="EFTPOS"/>
    <s v=""/>
    <s v="AT PUBLIC TRANSPORT AUCKLAND"/>
    <x v="60"/>
    <x v="5"/>
    <x v="0"/>
    <n v="-2.8"/>
    <x v="0"/>
    <m/>
  </r>
  <r>
    <x v="85"/>
    <x v="6"/>
    <n v="2025071501"/>
    <s v="EFTPOS"/>
    <s v=""/>
    <s v="AMAZON PRIMEVIDEO NZ SINGAPORE"/>
    <x v="25"/>
    <x v="0"/>
    <x v="0"/>
    <n v="-0.99"/>
    <x v="0"/>
    <m/>
  </r>
  <r>
    <x v="86"/>
    <x v="6"/>
    <n v="2025071801"/>
    <s v="EFTPOS"/>
    <s v=""/>
    <s v="AMAZON PRIMEVIDEO NZ SINGAPORE"/>
    <x v="25"/>
    <x v="0"/>
    <x v="0"/>
    <n v="-10.99"/>
    <x v="0"/>
    <m/>
  </r>
  <r>
    <x v="87"/>
    <x v="6"/>
    <n v="2025072101"/>
    <s v="D/D"/>
    <s v=""/>
    <s v="AMI Insurance"/>
    <x v="28"/>
    <x v="7"/>
    <x v="34"/>
    <n v="-130.72"/>
    <x v="0"/>
    <m/>
  </r>
  <r>
    <x v="88"/>
    <x v="6"/>
    <n v="2025072801"/>
    <s v="TFR IN"/>
    <s v=""/>
    <s v="ATM DEPOSIT"/>
    <x v="22"/>
    <x v="3"/>
    <x v="6"/>
    <n v="675"/>
    <x v="1"/>
    <m/>
  </r>
  <r>
    <x v="88"/>
    <x v="6"/>
    <n v="2025072804"/>
    <s v="EFTPOS"/>
    <s v=""/>
    <s v="OffshoreServiceMargins"/>
    <x v="10"/>
    <x v="7"/>
    <x v="0"/>
    <n v="-0.35"/>
    <x v="0"/>
    <m/>
  </r>
  <r>
    <x v="88"/>
    <x v="6"/>
    <n v="2025072803"/>
    <s v="EFTPOS"/>
    <s v=""/>
    <s v="Steam"/>
    <x v="12"/>
    <x v="2"/>
    <x v="0"/>
    <n v="-16.66"/>
    <x v="0"/>
    <m/>
  </r>
  <r>
    <x v="89"/>
    <x v="7"/>
    <n v="2025080201"/>
    <s v="EFTPOS"/>
    <s v=""/>
    <s v="Chemist Warehouse Ronwood Ctr"/>
    <x v="30"/>
    <x v="1"/>
    <x v="0"/>
    <n v="-27.58"/>
    <x v="0"/>
    <m/>
  </r>
  <r>
    <x v="90"/>
    <x v="7"/>
    <n v="2025080601"/>
    <s v="EFTPOS"/>
    <s v=""/>
    <s v="DEPT OF INTERNAL AFFAIRS WELLINGTON"/>
    <x v="61"/>
    <x v="7"/>
    <x v="0"/>
    <n v="-470.2"/>
    <x v="0"/>
    <m/>
  </r>
  <r>
    <x v="91"/>
    <x v="7"/>
    <n v="2025081501"/>
    <s v="EFTPOS"/>
    <s v=""/>
    <s v="AMAZON PRIMEVIDEO NZ SINGAPORE"/>
    <x v="25"/>
    <x v="0"/>
    <x v="0"/>
    <n v="-0.99"/>
    <x v="0"/>
    <m/>
  </r>
  <r>
    <x v="92"/>
    <x v="7"/>
    <n v="2025081902"/>
    <s v="EFTPOS"/>
    <s v=""/>
    <s v="AMAZON PRIMEVIDEO NZ SINGAPORE"/>
    <x v="25"/>
    <x v="0"/>
    <x v="0"/>
    <n v="-10.99"/>
    <x v="0"/>
    <m/>
  </r>
  <r>
    <x v="92"/>
    <x v="7"/>
    <n v="2025081903"/>
    <s v="TFR IN"/>
    <s v=""/>
    <s v="ATM DEPOSIT"/>
    <x v="22"/>
    <x v="3"/>
    <x v="6"/>
    <n v="215"/>
    <x v="1"/>
    <m/>
  </r>
  <r>
    <x v="92"/>
    <x v="7"/>
    <n v="2025081901"/>
    <s v="EFTPOS"/>
    <s v=""/>
    <s v="SOUTHPOINT FAMILY DOCTOR AUCKLAND"/>
    <x v="32"/>
    <x v="11"/>
    <x v="0"/>
    <n v="-19.89"/>
    <x v="0"/>
    <m/>
  </r>
  <r>
    <x v="93"/>
    <x v="7"/>
    <n v="2025082001"/>
    <s v="EFTPOS"/>
    <s v=""/>
    <s v="AWANUI MANUKAU MANUKAU"/>
    <x v="62"/>
    <x v="1"/>
    <x v="0"/>
    <n v="-102"/>
    <x v="0"/>
    <m/>
  </r>
  <r>
    <x v="94"/>
    <x v="7"/>
    <n v="2025082101"/>
    <s v="D/D"/>
    <s v=""/>
    <s v="AMI Insurance"/>
    <x v="28"/>
    <x v="7"/>
    <x v="35"/>
    <n v="-155.47"/>
    <x v="0"/>
    <m/>
  </r>
  <r>
    <x v="95"/>
    <x v="7"/>
    <n v="2025082501"/>
    <s v="D/C"/>
    <s v=""/>
    <s v="D/C FROM From JAI SHRI RAM LI"/>
    <x v="48"/>
    <x v="3"/>
    <x v="36"/>
    <n v="312.5"/>
    <x v="1"/>
    <m/>
  </r>
  <r>
    <x v="96"/>
    <x v="7"/>
    <n v="2025082802"/>
    <s v="EFTPOS"/>
    <s v=""/>
    <s v="OffshoreServiceMargins"/>
    <x v="10"/>
    <x v="7"/>
    <x v="0"/>
    <n v="-0.36"/>
    <x v="0"/>
    <m/>
  </r>
  <r>
    <x v="96"/>
    <x v="7"/>
    <n v="2025082801"/>
    <s v="EFTPOS"/>
    <s v=""/>
    <s v="Steam"/>
    <x v="12"/>
    <x v="2"/>
    <x v="0"/>
    <n v="-17.14"/>
    <x v="0"/>
    <m/>
  </r>
  <r>
    <x v="97"/>
    <x v="7"/>
    <n v="2025082901"/>
    <s v="EFTPOS"/>
    <s v=""/>
    <s v="www.chemistwarehouse.co. Auckland"/>
    <x v="63"/>
    <x v="1"/>
    <x v="0"/>
    <n v="-50.97"/>
    <x v="0"/>
    <m/>
  </r>
  <r>
    <x v="98"/>
    <x v="7"/>
    <n v="2025083001"/>
    <s v="EFTPOS"/>
    <s v=""/>
    <s v="Spotify P3A09977EA Stockholm"/>
    <x v="1"/>
    <x v="0"/>
    <x v="0"/>
    <n v="-9.49"/>
    <x v="0"/>
    <m/>
  </r>
  <r>
    <x v="99"/>
    <x v="8"/>
    <n v="2025090101"/>
    <s v="D/C"/>
    <s v=""/>
    <s v="D/C FROM From JAI SHRI RAM LI"/>
    <x v="48"/>
    <x v="3"/>
    <x v="37"/>
    <n v="212.5"/>
    <x v="1"/>
    <m/>
  </r>
  <r>
    <x v="99"/>
    <x v="8"/>
    <n v="2025090102"/>
    <s v="D/C"/>
    <s v=""/>
    <s v="D/C FROM IAG NEW ZEALAND"/>
    <x v="64"/>
    <x v="3"/>
    <x v="38"/>
    <n v="104.36"/>
    <x v="1"/>
    <m/>
  </r>
  <r>
    <x v="100"/>
    <x v="8"/>
    <n v="2025090702"/>
    <s v="EFTPOS"/>
    <s v=""/>
    <s v="Chemist Warehouse Ronwood Ctr"/>
    <x v="30"/>
    <x v="1"/>
    <x v="0"/>
    <n v="-32.979999999999997"/>
    <x v="0"/>
    <m/>
  </r>
  <r>
    <x v="100"/>
    <x v="8"/>
    <n v="2025090701"/>
    <s v="EFTPOS"/>
    <s v=""/>
    <s v="STRANDBAGS 344 MANUKAU CITY"/>
    <x v="65"/>
    <x v="1"/>
    <x v="0"/>
    <n v="-35.99"/>
    <x v="0"/>
    <m/>
  </r>
  <r>
    <x v="101"/>
    <x v="8"/>
    <n v="2025090901"/>
    <s v="D/C"/>
    <s v=""/>
    <s v="D/C FROM From JAI SHRI RAM LI"/>
    <x v="48"/>
    <x v="3"/>
    <x v="39"/>
    <n v="210"/>
    <x v="1"/>
    <m/>
  </r>
  <r>
    <x v="102"/>
    <x v="8"/>
    <n v="2025091201"/>
    <s v="EFTPOS"/>
    <s v=""/>
    <s v="www.chemistwarehouse.co. Auckland"/>
    <x v="63"/>
    <x v="1"/>
    <x v="0"/>
    <n v="-55.97"/>
    <x v="0"/>
    <m/>
  </r>
  <r>
    <x v="103"/>
    <x v="8"/>
    <n v="2025091301"/>
    <s v="EFTPOS"/>
    <s v=""/>
    <s v="2DEGREES MOBILE AUCKLAND"/>
    <x v="66"/>
    <x v="7"/>
    <x v="0"/>
    <n v="-10"/>
    <x v="0"/>
    <m/>
  </r>
  <r>
    <x v="104"/>
    <x v="8"/>
    <n v="2025091501"/>
    <s v="D/C"/>
    <s v=""/>
    <s v="D/C FROM From JAI SHRI RAM LI"/>
    <x v="48"/>
    <x v="3"/>
    <x v="40"/>
    <n v="315"/>
    <x v="1"/>
    <m/>
  </r>
  <r>
    <x v="105"/>
    <x v="8"/>
    <n v="2025091901"/>
    <s v="EFTPOS"/>
    <s v=""/>
    <s v="BIG BOSS BARBER CHAPEL R AUCKLAND"/>
    <x v="9"/>
    <x v="6"/>
    <x v="0"/>
    <n v="-35.880000000000003"/>
    <x v="0"/>
    <m/>
  </r>
  <r>
    <x v="106"/>
    <x v="8"/>
    <n v="2025092201"/>
    <s v="D/C"/>
    <s v=""/>
    <s v="D/C FROM From JAI SHRI RAM LI"/>
    <x v="48"/>
    <x v="3"/>
    <x v="41"/>
    <n v="315"/>
    <x v="1"/>
    <m/>
  </r>
  <r>
    <x v="107"/>
    <x v="8"/>
    <n v="2025092301"/>
    <s v="EFTPOS"/>
    <s v=""/>
    <s v="Chemist Warehouse Ronwood Ctr"/>
    <x v="30"/>
    <x v="1"/>
    <x v="0"/>
    <n v="-28.98"/>
    <x v="0"/>
    <m/>
  </r>
  <r>
    <x v="108"/>
    <x v="8"/>
    <n v="2025092601"/>
    <s v="EFTPOS"/>
    <s v=""/>
    <s v="WOOLWORTHS NZ/SHOP 99 MA MANUKAU"/>
    <x v="67"/>
    <x v="10"/>
    <x v="0"/>
    <n v="-79.58"/>
    <x v="0"/>
    <m/>
  </r>
  <r>
    <x v="109"/>
    <x v="8"/>
    <n v="2025092701"/>
    <s v="EFTPOS"/>
    <s v=""/>
    <s v="BP CONNECT PACIFIC MANUKAU"/>
    <x v="34"/>
    <x v="12"/>
    <x v="0"/>
    <n v="-64.040000000000006"/>
    <x v="0"/>
    <m/>
  </r>
  <r>
    <x v="110"/>
    <x v="9"/>
    <n v="2025100601"/>
    <s v="D/C"/>
    <s v=""/>
    <s v="D/C FROM From JAI SHRI RAM LI"/>
    <x v="48"/>
    <x v="3"/>
    <x v="42"/>
    <n v="214"/>
    <x v="1"/>
    <m/>
  </r>
  <r>
    <x v="110"/>
    <x v="9"/>
    <n v="2025100603"/>
    <s v="EFTPOS"/>
    <s v=""/>
    <s v="PAK N SAVE CLENDON AUCKLAND"/>
    <x v="23"/>
    <x v="10"/>
    <x v="0"/>
    <n v="-82.08"/>
    <x v="0"/>
    <m/>
  </r>
  <r>
    <x v="110"/>
    <x v="9"/>
    <n v="2025100602"/>
    <s v="BILLPAY"/>
    <s v=""/>
    <s v="PMT TO FC12-3436-0065861-00"/>
    <x v="11"/>
    <x v="8"/>
    <x v="43"/>
    <n v="-37.24"/>
    <x v="0"/>
    <m/>
  </r>
  <r>
    <x v="111"/>
    <x v="9"/>
    <n v="2025101301"/>
    <s v="D/C"/>
    <s v=""/>
    <s v="D/C FROM From JAI SHRI RAM LI"/>
    <x v="48"/>
    <x v="3"/>
    <x v="39"/>
    <n v="312.5"/>
    <x v="1"/>
    <m/>
  </r>
  <r>
    <x v="112"/>
    <x v="9"/>
    <n v="2025101601"/>
    <s v="EFTPOS"/>
    <s v=""/>
    <s v="Chemist Warehouse Manukau"/>
    <x v="68"/>
    <x v="1"/>
    <x v="0"/>
    <n v="-14.99"/>
    <x v="0"/>
    <m/>
  </r>
  <r>
    <x v="113"/>
    <x v="9"/>
    <n v="2025101701"/>
    <s v="EFTPOS"/>
    <s v=""/>
    <s v="FITNESS PLUSAUCKLAND"/>
    <x v="69"/>
    <x v="15"/>
    <x v="0"/>
    <n v="-79.95"/>
    <x v="0"/>
    <m/>
  </r>
  <r>
    <x v="114"/>
    <x v="9"/>
    <n v="2025101801"/>
    <s v="EFTPOS"/>
    <s v=""/>
    <s v="Cascade Superette Pakuranga He"/>
    <x v="40"/>
    <x v="4"/>
    <x v="0"/>
    <n v="-4.6100000000000003"/>
    <x v="0"/>
    <m/>
  </r>
  <r>
    <x v="115"/>
    <x v="9"/>
    <n v="2025101901"/>
    <s v="EFTPOS"/>
    <s v=""/>
    <s v="BP CONNECT PAKURANGA AUCKLAND"/>
    <x v="34"/>
    <x v="12"/>
    <x v="0"/>
    <n v="-14.99"/>
    <x v="0"/>
    <m/>
  </r>
  <r>
    <x v="116"/>
    <x v="9"/>
    <n v="2025102101"/>
    <s v="BILLPAY"/>
    <s v=""/>
    <s v="PMT TO FC06-0222-0948286-00"/>
    <x v="33"/>
    <x v="8"/>
    <x v="44"/>
    <n v="-150"/>
    <x v="0"/>
    <m/>
  </r>
  <r>
    <x v="117"/>
    <x v="9"/>
    <n v="2025102201"/>
    <s v="D/D"/>
    <s v=""/>
    <s v="DEBITSUCCESS"/>
    <x v="70"/>
    <x v="3"/>
    <x v="45"/>
    <n v="-15"/>
    <x v="0"/>
    <m/>
  </r>
  <r>
    <x v="117"/>
    <x v="9"/>
    <n v="2025102202"/>
    <s v="D/D"/>
    <s v=""/>
    <s v="DEBITSUCCESS"/>
    <x v="70"/>
    <x v="3"/>
    <x v="46"/>
    <n v="-18"/>
    <x v="0"/>
    <m/>
  </r>
  <r>
    <x v="118"/>
    <x v="9"/>
    <n v="2025102501"/>
    <s v="EFTPOS"/>
    <s v=""/>
    <s v="Cascade Superette Pakuranga He"/>
    <x v="40"/>
    <x v="4"/>
    <x v="0"/>
    <n v="-4.6100000000000003"/>
    <x v="0"/>
    <m/>
  </r>
  <r>
    <x v="119"/>
    <x v="9"/>
    <n v="2025102601"/>
    <s v="EFTPOS"/>
    <s v=""/>
    <s v="BP CONNECT PAKURANGA AUCKLAND"/>
    <x v="34"/>
    <x v="12"/>
    <x v="0"/>
    <n v="-17.600000000000001"/>
    <x v="0"/>
    <m/>
  </r>
  <r>
    <x v="120"/>
    <x v="9"/>
    <n v="2025102701"/>
    <s v="EFTPOS"/>
    <s v=""/>
    <s v="PAK N SAVE CLENDON AUCKLAND"/>
    <x v="23"/>
    <x v="10"/>
    <x v="0"/>
    <n v="-67.599999999999994"/>
    <x v="0"/>
    <m/>
  </r>
  <r>
    <x v="121"/>
    <x v="9"/>
    <n v="2025102801"/>
    <s v="EFTPOS"/>
    <s v=""/>
    <s v="BP CONNECT PACIFIC MANUKAU"/>
    <x v="34"/>
    <x v="12"/>
    <x v="0"/>
    <n v="-14.5"/>
    <x v="0"/>
    <m/>
  </r>
  <r>
    <x v="121"/>
    <x v="9"/>
    <n v="2025102802"/>
    <s v="EFTPOS"/>
    <s v=""/>
    <s v="BP CONNECT PACIFIC MANUKAU"/>
    <x v="34"/>
    <x v="12"/>
    <x v="0"/>
    <n v="-61.48"/>
    <x v="0"/>
    <m/>
  </r>
  <r>
    <x v="121"/>
    <x v="9"/>
    <n v="2025102803"/>
    <s v="D/C"/>
    <s v=""/>
    <s v="D/C FROM From JAI SHRI RAM LI"/>
    <x v="48"/>
    <x v="3"/>
    <x v="47"/>
    <n v="200.5"/>
    <x v="1"/>
    <m/>
  </r>
  <r>
    <x v="122"/>
    <x v="9"/>
    <n v="2025102902"/>
    <s v="EFTPOS"/>
    <s v=""/>
    <s v="Chemist Warehouse Ronwood Ctr"/>
    <x v="30"/>
    <x v="1"/>
    <x v="0"/>
    <n v="-44.88"/>
    <x v="0"/>
    <m/>
  </r>
  <r>
    <x v="122"/>
    <x v="9"/>
    <n v="2025102901"/>
    <s v="D/D"/>
    <s v=""/>
    <s v="DEBITSUCCESS"/>
    <x v="70"/>
    <x v="3"/>
    <x v="48"/>
    <n v="-18"/>
    <x v="0"/>
    <m/>
  </r>
  <r>
    <x v="123"/>
    <x v="9"/>
    <n v="2025103001"/>
    <s v="TFR IN"/>
    <s v=""/>
    <s v="ATM DEPOSIT"/>
    <x v="22"/>
    <x v="3"/>
    <x v="6"/>
    <n v="390"/>
    <x v="1"/>
    <m/>
  </r>
  <r>
    <x v="123"/>
    <x v="9"/>
    <n v="2025103002"/>
    <s v="EFTPOS"/>
    <s v=""/>
    <s v="Chemist Warehouse Flat Bush"/>
    <x v="30"/>
    <x v="1"/>
    <x v="0"/>
    <n v="-29.99"/>
    <x v="0"/>
    <m/>
  </r>
  <r>
    <x v="123"/>
    <x v="9"/>
    <n v="2025103003"/>
    <s v="EFTPOS"/>
    <s v=""/>
    <s v="Spotify P3BF258548 Stockholm"/>
    <x v="1"/>
    <x v="0"/>
    <x v="0"/>
    <n v="-18.989999999999998"/>
    <x v="0"/>
    <m/>
  </r>
  <r>
    <x v="124"/>
    <x v="9"/>
    <n v="2025103101"/>
    <s v="EFTPOS"/>
    <s v=""/>
    <s v="BIG BOSS BARBER CHAPEL R AUCKLAND"/>
    <x v="9"/>
    <x v="6"/>
    <x v="0"/>
    <n v="-35.880000000000003"/>
    <x v="0"/>
    <m/>
  </r>
  <r>
    <x v="125"/>
    <x v="10"/>
    <n v="2025110101"/>
    <s v="EFTPOS"/>
    <s v=""/>
    <s v="Z EllerslieAuckland"/>
    <x v="71"/>
    <x v="4"/>
    <x v="0"/>
    <n v="-17"/>
    <x v="0"/>
    <m/>
  </r>
  <r>
    <x v="126"/>
    <x v="10"/>
    <n v="2025110202"/>
    <s v="EFTPOS"/>
    <s v=""/>
    <s v="BEVERLEY HILLS SUPRE AUCKLAND"/>
    <x v="72"/>
    <x v="4"/>
    <x v="0"/>
    <n v="-3.06"/>
    <x v="0"/>
    <m/>
  </r>
  <r>
    <x v="126"/>
    <x v="10"/>
    <n v="2025110203"/>
    <s v="EFTPOS"/>
    <s v=""/>
    <s v="ChemistWareh02102763901 79583113"/>
    <x v="30"/>
    <x v="1"/>
    <x v="0"/>
    <n v="-177.64"/>
    <x v="0"/>
    <m/>
  </r>
  <r>
    <x v="126"/>
    <x v="10"/>
    <n v="2025110201"/>
    <s v="D/C"/>
    <s v=""/>
    <s v="D/C FROM NZD 8.06"/>
    <x v="73"/>
    <x v="13"/>
    <x v="49"/>
    <n v="8.06"/>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
  <r>
    <d v="2025-01-03T00:00:00"/>
    <x v="0"/>
    <n v="2025010301"/>
    <s v="EFTPOS"/>
    <s v=""/>
    <s v="NETFLIX.COMLOS GATOS CA"/>
    <x v="0"/>
    <x v="0"/>
    <s v="EFTPOS"/>
    <n v="-27.99"/>
    <x v="0"/>
  </r>
  <r>
    <d v="2025-01-04T00:00:00"/>
    <x v="0"/>
    <n v="2025010401"/>
    <s v="EFTPOS"/>
    <s v=""/>
    <s v="Spotify P32F135D5B Stockholm"/>
    <x v="1"/>
    <x v="0"/>
    <s v="EFTPOS"/>
    <n v="-8.99"/>
    <x v="0"/>
  </r>
  <r>
    <d v="2025-01-05T00:00:00"/>
    <x v="0"/>
    <n v="2025010501"/>
    <s v="EFTPOS"/>
    <s v=""/>
    <s v="Under ArmourManawa Bay Auckland"/>
    <x v="2"/>
    <x v="1"/>
    <s v="EFTPOS"/>
    <n v="-35.520000000000003"/>
    <x v="0"/>
  </r>
  <r>
    <d v="2025-01-05T00:00:00"/>
    <x v="0"/>
    <n v="2025010502"/>
    <s v="EFTPOS"/>
    <s v=""/>
    <s v="YD AUCKLANDAIRPORT AUCKLAND"/>
    <x v="3"/>
    <x v="1"/>
    <s v="EFTPOS"/>
    <n v="-39.99"/>
    <x v="0"/>
  </r>
  <r>
    <d v="2025-01-06T00:00:00"/>
    <x v="0"/>
    <n v="2025010603"/>
    <s v="EFTPOS"/>
    <s v=""/>
    <s v="APPLE.COM/BILL SYDNEY"/>
    <x v="4"/>
    <x v="2"/>
    <s v="EFTPOS"/>
    <n v="-22.99"/>
    <x v="0"/>
  </r>
  <r>
    <d v="2025-01-06T00:00:00"/>
    <x v="0"/>
    <n v="2025010605"/>
    <s v="D/C"/>
    <s v=""/>
    <s v="D/C FROM STUDYLINK (MSD )"/>
    <x v="5"/>
    <x v="3"/>
    <s v="STUDALLOW"/>
    <n v="238.67"/>
    <x v="1"/>
  </r>
  <r>
    <d v="2025-01-06T00:00:00"/>
    <x v="0"/>
    <n v="2025010604"/>
    <s v="D/C"/>
    <s v=""/>
    <s v="D/C FROM STUDYLINK (MSD)"/>
    <x v="5"/>
    <x v="3"/>
    <s v="LC PAYMENT"/>
    <n v="77.72"/>
    <x v="1"/>
  </r>
  <r>
    <d v="2025-01-06T00:00:00"/>
    <x v="0"/>
    <n v="2025010601"/>
    <s v="EFTPOS"/>
    <s v=""/>
    <s v="KOKODAK CHICKEN - UNATTE AUCKLAND"/>
    <x v="6"/>
    <x v="4"/>
    <s v="EFTPOS"/>
    <n v="-18.989999999999998"/>
    <x v="0"/>
  </r>
  <r>
    <d v="2025-01-06T00:00:00"/>
    <x v="0"/>
    <n v="2025010602"/>
    <s v="EFTPOS"/>
    <s v=""/>
    <s v="Lindt  Sprungli AUCKLAND"/>
    <x v="7"/>
    <x v="4"/>
    <s v="EFTPOS"/>
    <n v="-16"/>
    <x v="0"/>
  </r>
  <r>
    <d v="2025-01-07T00:00:00"/>
    <x v="0"/>
    <n v="2025010702"/>
    <s v="EFTPOS"/>
    <s v=""/>
    <s v="AT Hop Manukau Bus Manukau"/>
    <x v="8"/>
    <x v="5"/>
    <s v="EFTPOS"/>
    <n v="-20"/>
    <x v="0"/>
  </r>
  <r>
    <d v="2025-01-07T00:00:00"/>
    <x v="0"/>
    <n v="2025010701"/>
    <s v="EFTPOS"/>
    <s v=""/>
    <s v="BIG BOSS BARBER CHAPEL R AUCKLAND"/>
    <x v="9"/>
    <x v="6"/>
    <s v="EFTPOS"/>
    <n v="-35.880000000000003"/>
    <x v="0"/>
  </r>
  <r>
    <d v="2025-01-07T00:00:00"/>
    <x v="0"/>
    <n v="2025010705"/>
    <s v="EFTPOS"/>
    <s v=""/>
    <s v="OffshoreServiceMargins"/>
    <x v="10"/>
    <x v="7"/>
    <s v="EFTPOS"/>
    <n v="-0.38"/>
    <x v="0"/>
  </r>
  <r>
    <d v="2025-01-07T00:00:00"/>
    <x v="0"/>
    <n v="2025010703"/>
    <s v="BILLPAY"/>
    <s v=""/>
    <s v="PMT TO FC12-3083-0791904-50"/>
    <x v="11"/>
    <x v="8"/>
    <s v="BILL PAYMENT TO nv"/>
    <n v="-15"/>
    <x v="0"/>
  </r>
  <r>
    <d v="2025-01-07T00:00:00"/>
    <x v="0"/>
    <n v="2025010704"/>
    <s v="EFTPOS"/>
    <s v=""/>
    <s v="Steam"/>
    <x v="12"/>
    <x v="2"/>
    <s v="EFTPOS"/>
    <n v="-17.89"/>
    <x v="0"/>
  </r>
  <r>
    <d v="2025-01-08T00:00:00"/>
    <x v="0"/>
    <n v="2025010802"/>
    <s v="EFTPOS"/>
    <s v=""/>
    <s v="CUE CITYAUCKLAND"/>
    <x v="13"/>
    <x v="2"/>
    <s v="EFTPOS"/>
    <n v="-20.399999999999999"/>
    <x v="0"/>
  </r>
  <r>
    <d v="2025-01-08T00:00:00"/>
    <x v="0"/>
    <n v="2025010801"/>
    <s v="EFTPOS"/>
    <s v=""/>
    <s v="That Taco Place On Q Auckland"/>
    <x v="14"/>
    <x v="4"/>
    <s v="EFTPOS"/>
    <n v="-14"/>
    <x v="0"/>
  </r>
  <r>
    <d v="2025-01-09T00:00:00"/>
    <x v="0"/>
    <n v="2025010904"/>
    <s v="EFTPOS"/>
    <s v=""/>
    <s v="AT Hop Auckland Auckland"/>
    <x v="8"/>
    <x v="5"/>
    <s v="EFTPOS"/>
    <n v="-5"/>
    <x v="0"/>
  </r>
  <r>
    <d v="2025-01-09T00:00:00"/>
    <x v="0"/>
    <n v="2025010905"/>
    <s v="EFTPOS"/>
    <s v=""/>
    <s v="AT Hop Manukau Bus Manukau"/>
    <x v="8"/>
    <x v="5"/>
    <s v="EFTPOS"/>
    <n v="-50"/>
    <x v="0"/>
  </r>
  <r>
    <d v="2025-01-09T00:00:00"/>
    <x v="0"/>
    <n v="2025010902"/>
    <s v="EFTPOS"/>
    <s v=""/>
    <s v="NEWSFEEDAUCKLAND"/>
    <x v="15"/>
    <x v="4"/>
    <s v="EFTPOS"/>
    <n v="-3.8"/>
    <x v="0"/>
  </r>
  <r>
    <d v="2025-01-09T00:00:00"/>
    <x v="0"/>
    <n v="2025010903"/>
    <s v="EFTPOS"/>
    <s v=""/>
    <s v="PUSH DEVELOPMENTS LOWER HUTT"/>
    <x v="16"/>
    <x v="4"/>
    <s v="EFTPOS"/>
    <n v="-5.5"/>
    <x v="0"/>
  </r>
  <r>
    <d v="2025-01-09T00:00:00"/>
    <x v="0"/>
    <n v="2025010901"/>
    <s v="EFTPOS"/>
    <s v=""/>
    <s v="REAL CAFE LIMITED AUCKLAND"/>
    <x v="15"/>
    <x v="4"/>
    <s v="EFTPOS"/>
    <n v="-10.8"/>
    <x v="0"/>
  </r>
  <r>
    <d v="2025-01-10T00:00:00"/>
    <x v="0"/>
    <n v="2025011001"/>
    <s v="EFTPOS"/>
    <s v=""/>
    <s v="NEWSFEEDAUCKLAND"/>
    <x v="17"/>
    <x v="4"/>
    <s v="EFTPOS"/>
    <n v="-11.3"/>
    <x v="0"/>
  </r>
  <r>
    <d v="2025-01-10T00:00:00"/>
    <x v="0"/>
    <n v="2025011002"/>
    <s v="EFTPOS"/>
    <s v=""/>
    <s v="NEWSFEEDAUCKLAND"/>
    <x v="17"/>
    <x v="4"/>
    <s v="EFTPOS"/>
    <n v="-3.8"/>
    <x v="0"/>
  </r>
  <r>
    <d v="2025-01-11T00:00:00"/>
    <x v="0"/>
    <n v="2025011102"/>
    <s v="EFTPOS"/>
    <s v=""/>
    <s v="NEWSFEEDAUCKLAND"/>
    <x v="17"/>
    <x v="4"/>
    <s v="EFTPOS"/>
    <n v="-11.3"/>
    <x v="0"/>
  </r>
  <r>
    <d v="2025-01-11T00:00:00"/>
    <x v="0"/>
    <n v="2025011103"/>
    <s v="EFTPOS"/>
    <s v=""/>
    <s v="NEWSFEEDAUCKLAND"/>
    <x v="17"/>
    <x v="4"/>
    <s v="EFTPOS"/>
    <n v="-3.8"/>
    <x v="0"/>
  </r>
  <r>
    <d v="2025-01-11T00:00:00"/>
    <x v="0"/>
    <n v="2025011101"/>
    <s v="EFTPOS"/>
    <s v=""/>
    <s v="PUSH DEVELOPMENTS LOWER HUTT"/>
    <x v="16"/>
    <x v="4"/>
    <s v="EFTPOS"/>
    <n v="-5.5"/>
    <x v="0"/>
  </r>
  <r>
    <d v="2025-01-12T00:00:00"/>
    <x v="0"/>
    <n v="2025011201"/>
    <s v="EFTPOS"/>
    <s v=""/>
    <s v="GRAMMARLY CO*6T3H0HW at 0.5541*"/>
    <x v="18"/>
    <x v="9"/>
    <s v="EFTPOS"/>
    <n v="-54.14"/>
    <x v="0"/>
  </r>
  <r>
    <d v="2025-01-12T00:00:00"/>
    <x v="0"/>
    <n v="2025011202"/>
    <s v="EFTPOS"/>
    <s v=""/>
    <s v="OffshoreServiceMargins"/>
    <x v="10"/>
    <x v="7"/>
    <s v="EFTPOS"/>
    <n v="-1.1399999999999999"/>
    <x v="0"/>
  </r>
  <r>
    <d v="2025-01-13T00:00:00"/>
    <x v="0"/>
    <n v="2025011301"/>
    <s v="D/C"/>
    <s v=""/>
    <s v="D/C FROM STUDYLINK (MSD )"/>
    <x v="5"/>
    <x v="3"/>
    <s v="STUDALLOW 28485 516090069"/>
    <n v="238.67"/>
    <x v="1"/>
  </r>
  <r>
    <d v="2025-01-13T00:00:00"/>
    <x v="0"/>
    <n v="2025011302"/>
    <s v="D/C"/>
    <s v=""/>
    <s v="D/C FROM STUDYLINK (MSD)"/>
    <x v="5"/>
    <x v="3"/>
    <s v="LC PAYMENT REF:203818 SSV516090069"/>
    <n v="77.72"/>
    <x v="1"/>
  </r>
  <r>
    <d v="2025-01-14T00:00:00"/>
    <x v="0"/>
    <n v="2025011401"/>
    <s v="EFTPOS"/>
    <s v=""/>
    <s v="BRISCOES MANUKAU AUCKLAND"/>
    <x v="19"/>
    <x v="1"/>
    <s v="EFTPOS"/>
    <n v="-49.99"/>
    <x v="0"/>
  </r>
  <r>
    <d v="2025-01-14T00:00:00"/>
    <x v="0"/>
    <n v="2025011402"/>
    <s v="EFTPOS"/>
    <s v=""/>
    <s v="That Taco Place On Q Auckland"/>
    <x v="20"/>
    <x v="4"/>
    <s v="EFTPOS"/>
    <n v="-12.85"/>
    <x v="0"/>
  </r>
  <r>
    <d v="2025-01-15T00:00:00"/>
    <x v="0"/>
    <n v="2025011503"/>
    <s v="EFTPOS"/>
    <s v=""/>
    <s v="NEWSFEEDAUCKLAND"/>
    <x v="17"/>
    <x v="4"/>
    <s v="EFTPOS"/>
    <n v="-5.5"/>
    <x v="0"/>
  </r>
  <r>
    <d v="2025-01-15T00:00:00"/>
    <x v="0"/>
    <n v="2025011501"/>
    <s v="EFTPOS"/>
    <s v=""/>
    <s v="PUSH DEVELOPMENTS LOWER HUTT"/>
    <x v="16"/>
    <x v="4"/>
    <s v="EFTPOS"/>
    <n v="-3"/>
    <x v="0"/>
  </r>
  <r>
    <d v="2025-01-15T00:00:00"/>
    <x v="0"/>
    <n v="2025011502"/>
    <s v="EFTPOS"/>
    <s v=""/>
    <s v="PUSH DEVELOPMENTS LOWER HUTT"/>
    <x v="16"/>
    <x v="4"/>
    <s v="EFTPOS"/>
    <n v="-5.5"/>
    <x v="0"/>
  </r>
  <r>
    <d v="2025-01-16T00:00:00"/>
    <x v="0"/>
    <n v="2025011604"/>
    <s v="EFTPOS"/>
    <s v=""/>
    <s v="NEWSFEEDAUCKLAND"/>
    <x v="17"/>
    <x v="4"/>
    <s v="EFTPOS"/>
    <n v="-11.3"/>
    <x v="0"/>
  </r>
  <r>
    <d v="2025-01-16T00:00:00"/>
    <x v="0"/>
    <n v="2025011602"/>
    <s v="EFTPOS"/>
    <s v=""/>
    <s v="PUSH DEVELOPMENTS LOWER HUTT"/>
    <x v="16"/>
    <x v="4"/>
    <s v="EFTPOS"/>
    <n v="-5"/>
    <x v="0"/>
  </r>
  <r>
    <d v="2025-01-16T00:00:00"/>
    <x v="0"/>
    <n v="2025011603"/>
    <s v="EFTPOS"/>
    <s v=""/>
    <s v="PUSH DEVELOPMENTS LOWER HUTT"/>
    <x v="16"/>
    <x v="4"/>
    <s v="EFTPOS"/>
    <n v="-5"/>
    <x v="0"/>
  </r>
  <r>
    <d v="2025-01-16T00:00:00"/>
    <x v="0"/>
    <n v="2025011601"/>
    <s v="EFTPOS"/>
    <s v=""/>
    <s v="That Taco Place On Q Auckland"/>
    <x v="21"/>
    <x v="4"/>
    <s v="EFTPOS"/>
    <n v="-13"/>
    <x v="0"/>
  </r>
  <r>
    <d v="2025-01-17T00:00:00"/>
    <x v="0"/>
    <n v="2025011704"/>
    <s v="TFR IN"/>
    <s v=""/>
    <s v="ATM DEPOSIT"/>
    <x v="22"/>
    <x v="3"/>
    <s v="CARD 7315"/>
    <n v="30"/>
    <x v="1"/>
  </r>
  <r>
    <d v="2025-01-17T00:00:00"/>
    <x v="0"/>
    <n v="2025011705"/>
    <s v="EFTPOS"/>
    <s v=""/>
    <s v="PAK N SAVE BOTANY AUCKLAND"/>
    <x v="23"/>
    <x v="10"/>
    <s v="EFTPOS"/>
    <n v="-35.549999999999997"/>
    <x v="0"/>
  </r>
  <r>
    <d v="2025-01-17T00:00:00"/>
    <x v="0"/>
    <n v="2025011701"/>
    <s v="EFTPOS"/>
    <s v=""/>
    <s v="PUSH DEVELOPMENTS LOWER HUTT"/>
    <x v="16"/>
    <x v="4"/>
    <s v="EFTPOS"/>
    <n v="-3"/>
    <x v="0"/>
  </r>
  <r>
    <d v="2025-01-17T00:00:00"/>
    <x v="0"/>
    <n v="2025011702"/>
    <s v="EFTPOS"/>
    <s v=""/>
    <s v="PUSH DEVELOPMENTS LOWER HUTT"/>
    <x v="16"/>
    <x v="4"/>
    <s v="EFTPOS"/>
    <n v="-5.5"/>
    <x v="0"/>
  </r>
  <r>
    <d v="2025-01-17T00:00:00"/>
    <x v="0"/>
    <n v="2025011703"/>
    <s v="EFTPOS"/>
    <s v=""/>
    <s v="PUSH DEVELOPMENTS LOWER HUTT"/>
    <x v="16"/>
    <x v="4"/>
    <s v="EFTPOS"/>
    <n v="-3"/>
    <x v="0"/>
  </r>
  <r>
    <d v="2025-01-17T00:00:00"/>
    <x v="0"/>
    <n v="2025011706"/>
    <s v="EFTPOS"/>
    <s v=""/>
    <s v="SHEIN.COMMELBOURNE"/>
    <x v="24"/>
    <x v="1"/>
    <s v="EFTPOS"/>
    <n v="-18.899999999999999"/>
    <x v="0"/>
  </r>
  <r>
    <d v="2025-01-18T00:00:00"/>
    <x v="0"/>
    <n v="2025011805"/>
    <s v="EFTPOS"/>
    <s v=""/>
    <s v="AMAZON PRIMEVIDEO NZ SINGAPORE"/>
    <x v="25"/>
    <x v="0"/>
    <s v="EFTPOS"/>
    <n v="-10.99"/>
    <x v="0"/>
  </r>
  <r>
    <d v="2025-01-18T00:00:00"/>
    <x v="0"/>
    <n v="2025011802"/>
    <s v="EFTPOS"/>
    <s v=""/>
    <s v="NOVELTY SWEETS BOTANY AUCKLAND"/>
    <x v="26"/>
    <x v="4"/>
    <s v="EFTPOS"/>
    <n v="-17.34"/>
    <x v="0"/>
  </r>
  <r>
    <d v="2025-01-18T00:00:00"/>
    <x v="0"/>
    <n v="2025011803"/>
    <s v="EFTPOS"/>
    <s v=""/>
    <s v="NOVELTY SWEETS BOTANY AUCKLAND"/>
    <x v="26"/>
    <x v="4"/>
    <s v="EFTPOS"/>
    <n v="-37.74"/>
    <x v="0"/>
  </r>
  <r>
    <d v="2025-01-18T00:00:00"/>
    <x v="0"/>
    <n v="2025011804"/>
    <s v="BILLPAY"/>
    <s v=""/>
    <s v="PMT TO FC12-3089-0372831-50"/>
    <x v="11"/>
    <x v="8"/>
    <s v="BILL PAYMENT TO spring roll"/>
    <n v="-6"/>
    <x v="0"/>
  </r>
  <r>
    <d v="2025-01-18T00:00:00"/>
    <x v="0"/>
    <n v="2025011801"/>
    <s v="EFTPOS"/>
    <s v=""/>
    <s v="REBEL BOTANYAUCKLAND"/>
    <x v="27"/>
    <x v="1"/>
    <s v="EFTPOS"/>
    <n v="-149.99"/>
    <x v="0"/>
  </r>
  <r>
    <d v="2025-01-20T00:00:00"/>
    <x v="0"/>
    <n v="2025012001"/>
    <s v="D/D"/>
    <s v=""/>
    <s v="AMI Insurance"/>
    <x v="28"/>
    <x v="7"/>
    <s v="D/D 4047200 25020-691735"/>
    <n v="-130.72"/>
    <x v="0"/>
  </r>
  <r>
    <d v="2025-01-20T00:00:00"/>
    <x v="0"/>
    <n v="2025012003"/>
    <s v="D/C"/>
    <s v=""/>
    <s v="D/C FROM STUDYLINK (MSD )"/>
    <x v="29"/>
    <x v="3"/>
    <s v="STUDALLOW 28507 516090069"/>
    <n v="238.67"/>
    <x v="1"/>
  </r>
  <r>
    <d v="2025-01-20T00:00:00"/>
    <x v="0"/>
    <n v="2025012002"/>
    <s v="D/C"/>
    <s v=""/>
    <s v="D/C FROM STUDYLINK (MSD)"/>
    <x v="5"/>
    <x v="3"/>
    <s v="LC PAYMENT REF:203855 SSV516090069"/>
    <n v="77.72"/>
    <x v="1"/>
  </r>
  <r>
    <d v="2025-01-21T00:00:00"/>
    <x v="0"/>
    <n v="2025012101"/>
    <s v="EFTPOS"/>
    <s v=""/>
    <s v="Chemist Warehouse NZ Onl Auckland"/>
    <x v="30"/>
    <x v="1"/>
    <s v="EFTPOS"/>
    <n v="-86.98"/>
    <x v="0"/>
  </r>
  <r>
    <d v="2025-01-21T00:00:00"/>
    <x v="0"/>
    <n v="2025012103"/>
    <s v="EFTPOS"/>
    <s v=""/>
    <s v="GAMMA.APPat 0.5577*"/>
    <x v="31"/>
    <x v="9"/>
    <s v="EFTPOS"/>
    <n v="-17.93"/>
    <x v="0"/>
  </r>
  <r>
    <d v="2025-01-21T00:00:00"/>
    <x v="0"/>
    <n v="2025012104"/>
    <s v="EFTPOS"/>
    <s v=""/>
    <s v="OffshoreServiceMargins"/>
    <x v="10"/>
    <x v="7"/>
    <s v="EFTPOS"/>
    <n v="-0.38"/>
    <x v="0"/>
  </r>
  <r>
    <d v="2025-01-21T00:00:00"/>
    <x v="0"/>
    <n v="2025012102"/>
    <s v="EFTPOS"/>
    <s v=""/>
    <s v="SOUTHPOINT FAMILY DOCTOR AUCKLAND"/>
    <x v="32"/>
    <x v="11"/>
    <s v="EFTPOS"/>
    <n v="-19.89"/>
    <x v="0"/>
  </r>
  <r>
    <d v="2025-01-22T00:00:00"/>
    <x v="0"/>
    <n v="2025012201"/>
    <s v="BILLPAY"/>
    <s v=""/>
    <s v="PMT TO FC06-0323-0731887-00"/>
    <x v="33"/>
    <x v="8"/>
    <s v="BILL PAYMENT TO sleevs"/>
    <n v="-5"/>
    <x v="0"/>
  </r>
  <r>
    <d v="2025-01-26T00:00:00"/>
    <x v="0"/>
    <n v="2025012601"/>
    <s v="EFTPOS"/>
    <s v=""/>
    <s v="BP CONNECT PAKURANGA AUCKLAND"/>
    <x v="34"/>
    <x v="12"/>
    <s v="EFTPOS"/>
    <n v="-11.4"/>
    <x v="0"/>
  </r>
  <r>
    <d v="2025-01-27T00:00:00"/>
    <x v="0"/>
    <n v="2025012701"/>
    <s v="D/C"/>
    <s v=""/>
    <s v="D/C FROM STUDYLINK (MSD )"/>
    <x v="29"/>
    <x v="3"/>
    <s v="STUDALLOW 28529 516090069"/>
    <n v="238.67"/>
    <x v="1"/>
  </r>
  <r>
    <d v="2025-01-27T00:00:00"/>
    <x v="0"/>
    <n v="2025012702"/>
    <s v="D/C"/>
    <s v=""/>
    <s v="D/C FROM STUDYLINK (MSD)"/>
    <x v="5"/>
    <x v="3"/>
    <s v="LC PAYMENT REF:203892 SSV516090069"/>
    <n v="77.72"/>
    <x v="1"/>
  </r>
  <r>
    <d v="2025-01-28T00:00:00"/>
    <x v="0"/>
    <n v="2025012802"/>
    <s v="EFTPOS"/>
    <s v=""/>
    <s v="SEA LIFE KELLY TARLTONS AUCKLAND"/>
    <x v="35"/>
    <x v="2"/>
    <s v="EFTPOS"/>
    <n v="-12"/>
    <x v="0"/>
  </r>
  <r>
    <d v="2025-01-28T00:00:00"/>
    <x v="0"/>
    <n v="2025012803"/>
    <s v="EFTPOS"/>
    <s v=""/>
    <s v="SEA LIFE KELLY TARLTONS AUCKLAND"/>
    <x v="35"/>
    <x v="2"/>
    <s v="EFTPOS"/>
    <n v="-36"/>
    <x v="0"/>
  </r>
  <r>
    <d v="2025-01-28T00:00:00"/>
    <x v="0"/>
    <n v="2025012801"/>
    <s v="EFTPOS"/>
    <s v=""/>
    <s v="THE MISSIONTHAI AUCKLAND"/>
    <x v="36"/>
    <x v="2"/>
    <s v="EFTPOS"/>
    <n v="-57.38"/>
    <x v="0"/>
  </r>
  <r>
    <d v="2025-01-29T00:00:00"/>
    <x v="0"/>
    <n v="2025012901"/>
    <s v="EFTPOS"/>
    <s v=""/>
    <s v="WWW.INDIANSUPERMARKET. HAMILTON"/>
    <x v="37"/>
    <x v="10"/>
    <s v="EFTPOS"/>
    <n v="-20.49"/>
    <x v="0"/>
  </r>
  <r>
    <d v="2025-01-30T00:00:00"/>
    <x v="0"/>
    <n v="2025013001"/>
    <s v="BILLPAY"/>
    <s v=""/>
    <s v="PMT TO FC01-0286-0857295-00"/>
    <x v="38"/>
    <x v="8"/>
    <s v="BILL PAYMENT TO nandini"/>
    <n v="-31"/>
    <x v="0"/>
  </r>
  <r>
    <d v="2025-01-31T00:00:00"/>
    <x v="0"/>
    <n v="2025013101"/>
    <s v="EFTPOS"/>
    <s v=""/>
    <s v="BIG BOSS BARBER CHAPEL R AUCKLAND"/>
    <x v="9"/>
    <x v="6"/>
    <s v="EFTPOS"/>
    <n v="-66.63"/>
    <x v="0"/>
  </r>
  <r>
    <d v="2025-01-31T00:00:00"/>
    <x v="0"/>
    <n v="2025013102"/>
    <s v="EFTPOS"/>
    <s v=""/>
    <s v="BP CONNECT TAKANINI TAKANINI"/>
    <x v="34"/>
    <x v="12"/>
    <s v="EFTPOS"/>
    <n v="-66"/>
    <x v="0"/>
  </r>
  <r>
    <d v="2025-01-31T00:00:00"/>
    <x v="0"/>
    <n v="2025013103"/>
    <s v="EFTPOS"/>
    <s v=""/>
    <s v="EVENT CINEMAS MANUKAU MANUKAU CITY"/>
    <x v="39"/>
    <x v="2"/>
    <s v="EFTPOS"/>
    <n v="-4"/>
    <x v="0"/>
  </r>
  <r>
    <d v="2025-01-31T00:00:00"/>
    <x v="0"/>
    <n v="2025013104"/>
    <s v="EFTPOS"/>
    <s v=""/>
    <s v="EVENT CINEMAS MANUKAU MANUKAU CITY"/>
    <x v="39"/>
    <x v="2"/>
    <s v="EFTPOS"/>
    <n v="-17.25"/>
    <x v="0"/>
  </r>
  <r>
    <d v="2025-02-01T00:00:00"/>
    <x v="1"/>
    <n v="2025020101"/>
    <s v="EFTPOS"/>
    <s v=""/>
    <s v="Cascade Superette Pakuranga He"/>
    <x v="40"/>
    <x v="4"/>
    <s v="EFTPOS"/>
    <n v="-4.6100000000000003"/>
    <x v="0"/>
  </r>
  <r>
    <d v="2025-02-01T00:00:00"/>
    <x v="1"/>
    <n v="2025020102"/>
    <s v="EFTPOS"/>
    <s v=""/>
    <s v="KATSUBI MANUKAU AUCKLAND"/>
    <x v="41"/>
    <x v="4"/>
    <s v="EFTPOS"/>
    <n v="-22.99"/>
    <x v="0"/>
  </r>
  <r>
    <d v="2025-02-02T00:00:00"/>
    <x v="1"/>
    <n v="2025020201"/>
    <s v="EFTPOS"/>
    <s v=""/>
    <s v="BP CONNECT PAKURANGA AUCKLAND"/>
    <x v="34"/>
    <x v="12"/>
    <s v="EFTPOS"/>
    <n v="-11.4"/>
    <x v="0"/>
  </r>
  <r>
    <d v="2025-02-03T00:00:00"/>
    <x v="1"/>
    <n v="2025020303"/>
    <s v="D/C"/>
    <s v=""/>
    <s v="D/C FROM STUDYLINK (MSD )"/>
    <x v="29"/>
    <x v="3"/>
    <s v="STUDALLOW 28551 516090069"/>
    <n v="238.67"/>
    <x v="1"/>
  </r>
  <r>
    <d v="2025-02-03T00:00:00"/>
    <x v="1"/>
    <n v="2025020302"/>
    <s v="D/C"/>
    <s v=""/>
    <s v="D/C FROM STUDYLINK (MSD)"/>
    <x v="5"/>
    <x v="3"/>
    <s v="LC PAYMENT REF:203929 SSV516090069"/>
    <n v="77.72"/>
    <x v="1"/>
  </r>
  <r>
    <d v="2025-02-03T00:00:00"/>
    <x v="1"/>
    <n v="2025020301"/>
    <s v="EFTPOS"/>
    <s v=""/>
    <s v="NETFLIX.COMLOS GATOS CA"/>
    <x v="0"/>
    <x v="0"/>
    <s v="EFTPOS"/>
    <n v="-27.99"/>
    <x v="0"/>
  </r>
  <r>
    <d v="2025-02-04T00:00:00"/>
    <x v="1"/>
    <n v="2025020401"/>
    <s v="EFTPOS"/>
    <s v=""/>
    <s v="Spotify P33C5F0EAE Stockholm"/>
    <x v="1"/>
    <x v="0"/>
    <s v="EFTPOS"/>
    <n v="-18.989999999999998"/>
    <x v="0"/>
  </r>
  <r>
    <d v="2025-02-05T00:00:00"/>
    <x v="1"/>
    <n v="2025020501"/>
    <s v="EFTPOS"/>
    <s v=""/>
    <s v="Chemist Warehouse Ronwood Ctr"/>
    <x v="30"/>
    <x v="1"/>
    <s v="EFTPOS"/>
    <n v="-101.98"/>
    <x v="0"/>
  </r>
  <r>
    <d v="2025-02-07T00:00:00"/>
    <x v="1"/>
    <n v="2025020703"/>
    <s v="EFTPOS"/>
    <s v=""/>
    <s v="NEW WORLD SOUTHMALL MANUREWA"/>
    <x v="42"/>
    <x v="1"/>
    <s v="EFTPOS"/>
    <n v="-15.56"/>
    <x v="0"/>
  </r>
  <r>
    <d v="2025-02-07T00:00:00"/>
    <x v="1"/>
    <n v="2025020702"/>
    <s v="EFTPOS"/>
    <s v=""/>
    <s v="OffshoreServiceMargins"/>
    <x v="10"/>
    <x v="7"/>
    <s v="EFTPOS"/>
    <n v="-0.37"/>
    <x v="0"/>
  </r>
  <r>
    <d v="2025-02-07T00:00:00"/>
    <x v="1"/>
    <n v="2025020701"/>
    <s v="EFTPOS"/>
    <s v=""/>
    <s v="Steam"/>
    <x v="12"/>
    <x v="2"/>
    <s v="EFTPOS"/>
    <n v="-17.7"/>
    <x v="0"/>
  </r>
  <r>
    <d v="2025-02-08T00:00:00"/>
    <x v="1"/>
    <n v="2025020801"/>
    <s v="EFTPOS"/>
    <s v=""/>
    <s v="APPLE.COM/BILL SYDNEY"/>
    <x v="4"/>
    <x v="2"/>
    <s v="EFTPOS"/>
    <n v="-22.99"/>
    <x v="0"/>
  </r>
  <r>
    <d v="2025-02-08T00:00:00"/>
    <x v="1"/>
    <n v="2025020802"/>
    <s v="EFTPOS"/>
    <s v=""/>
    <s v="THIRSTY LIQUOR MANUREWA"/>
    <x v="43"/>
    <x v="4"/>
    <s v="EFTPOS"/>
    <n v="-10.28"/>
    <x v="0"/>
  </r>
  <r>
    <d v="2025-02-09T00:00:00"/>
    <x v="1"/>
    <n v="2025020901"/>
    <s v="EFTPOS"/>
    <s v=""/>
    <s v="BP CONNECT PAKURANGA AUCKLAND"/>
    <x v="34"/>
    <x v="12"/>
    <s v="EFTPOS"/>
    <n v="-11"/>
    <x v="0"/>
  </r>
  <r>
    <d v="2025-02-10T00:00:00"/>
    <x v="1"/>
    <n v="2025021001"/>
    <s v="D/C"/>
    <s v=""/>
    <s v="D/C FROM STUDYLINK (MSD )"/>
    <x v="29"/>
    <x v="3"/>
    <s v="STUDALLOW 28571 516090069"/>
    <n v="238.67"/>
    <x v="1"/>
  </r>
  <r>
    <d v="2025-02-10T00:00:00"/>
    <x v="1"/>
    <n v="2025021002"/>
    <s v="D/C"/>
    <s v=""/>
    <s v="D/C FROM STUDYLINK (MSD)"/>
    <x v="5"/>
    <x v="3"/>
    <s v="LC PAYMENT REF:203961 SSV516090069"/>
    <n v="77.72"/>
    <x v="1"/>
  </r>
  <r>
    <d v="2025-02-14T00:00:00"/>
    <x v="1"/>
    <n v="2025021403"/>
    <s v="EFTPOS"/>
    <s v=""/>
    <s v="EVENT CINEMAS MANUKAU MANUKAU CITY"/>
    <x v="39"/>
    <x v="2"/>
    <s v="EFTPOS"/>
    <n v="-42.4"/>
    <x v="0"/>
  </r>
  <r>
    <d v="2025-02-14T00:00:00"/>
    <x v="1"/>
    <n v="2025021402"/>
    <s v="EFTPOS"/>
    <s v=""/>
    <s v="Ko Ko DakManukau"/>
    <x v="44"/>
    <x v="4"/>
    <s v="EFTPOS"/>
    <n v="-18.989999999999998"/>
    <x v="0"/>
  </r>
  <r>
    <d v="2025-02-14T00:00:00"/>
    <x v="1"/>
    <n v="2025021401"/>
    <s v="EFTPOS"/>
    <s v=""/>
    <s v="PAK N SAVE MANUKAU AUCKLAND"/>
    <x v="23"/>
    <x v="10"/>
    <s v="EFTPOS"/>
    <n v="-35.630000000000003"/>
    <x v="0"/>
  </r>
  <r>
    <d v="2025-02-16T00:00:00"/>
    <x v="1"/>
    <n v="2025021601"/>
    <s v="EFTPOS"/>
    <s v=""/>
    <s v="BP CONNECT PAKURANGA AUCKLAND"/>
    <x v="34"/>
    <x v="12"/>
    <s v="EFTPOS"/>
    <n v="-6.9"/>
    <x v="0"/>
  </r>
  <r>
    <d v="2025-02-17T00:00:00"/>
    <x v="1"/>
    <n v="2025021701"/>
    <s v="D/C"/>
    <s v=""/>
    <s v="D/C FROM STUDYLINK (MSD )"/>
    <x v="29"/>
    <x v="3"/>
    <s v="STUDALLOW 28593 516090069"/>
    <n v="238.67"/>
    <x v="1"/>
  </r>
  <r>
    <d v="2025-02-17T00:00:00"/>
    <x v="1"/>
    <n v="2025021702"/>
    <s v="D/C"/>
    <s v=""/>
    <s v="D/C FROM STUDYLINK (MSD)"/>
    <x v="5"/>
    <x v="3"/>
    <s v="LC PAYMENT REF:203998 SSV516090069"/>
    <n v="77.72"/>
    <x v="1"/>
  </r>
  <r>
    <d v="2025-02-17T00:00:00"/>
    <x v="1"/>
    <n v="2025021703"/>
    <s v="EFTPOS"/>
    <s v=""/>
    <s v="EZI*HEALTH &amp;FITNESS Auckland"/>
    <x v="45"/>
    <x v="13"/>
    <s v="EFTPOS"/>
    <n v="-260"/>
    <x v="0"/>
  </r>
  <r>
    <d v="2025-02-18T00:00:00"/>
    <x v="1"/>
    <n v="2025021801"/>
    <s v="EFTPOS"/>
    <s v=""/>
    <s v="AMAZON PRIMEVIDEO NZ SINGAPORE"/>
    <x v="25"/>
    <x v="0"/>
    <s v="EFTPOS"/>
    <n v="-10.99"/>
    <x v="0"/>
  </r>
  <r>
    <d v="2025-02-20T00:00:00"/>
    <x v="1"/>
    <n v="2025022001"/>
    <s v="D/D"/>
    <s v=""/>
    <s v="AMI Insurance"/>
    <x v="28"/>
    <x v="7"/>
    <s v="D/D 4047200 25051-938407"/>
    <n v="-130.72"/>
    <x v="0"/>
  </r>
  <r>
    <d v="2025-02-22T00:00:00"/>
    <x v="1"/>
    <n v="2025022201"/>
    <s v="EFTPOS"/>
    <s v=""/>
    <s v="Cascade Superette Pakuranga He"/>
    <x v="40"/>
    <x v="4"/>
    <s v="EFTPOS"/>
    <n v="-4.6100000000000003"/>
    <x v="0"/>
  </r>
  <r>
    <d v="2025-02-23T00:00:00"/>
    <x v="1"/>
    <n v="2025022301"/>
    <s v="EFTPOS"/>
    <s v=""/>
    <s v="BP CONNECT PAKURANGA AUCKLAND"/>
    <x v="4"/>
    <x v="2"/>
    <s v="EFTPOS"/>
    <n v="-11.89"/>
    <x v="0"/>
  </r>
  <r>
    <d v="2025-02-25T00:00:00"/>
    <x v="1"/>
    <n v="2025022501"/>
    <s v="EFTPOS"/>
    <s v=""/>
    <s v="APPLE.COM/BILL SYDNEY"/>
    <x v="4"/>
    <x v="2"/>
    <s v="EFTPOS"/>
    <n v="-31.48"/>
    <x v="0"/>
  </r>
  <r>
    <d v="2025-02-27T00:00:00"/>
    <x v="1"/>
    <n v="2025022702"/>
    <s v="EFTPOS"/>
    <s v=""/>
    <s v="OffshoreServiceMargins"/>
    <x v="10"/>
    <x v="7"/>
    <s v="EFTPOS"/>
    <n v="-0.22"/>
    <x v="0"/>
  </r>
  <r>
    <d v="2025-02-27T00:00:00"/>
    <x v="1"/>
    <n v="2025022701"/>
    <s v="EFTPOS"/>
    <s v=""/>
    <s v="RAZ*RIGIat 49.5146*"/>
    <x v="46"/>
    <x v="13"/>
    <s v="EFTPOS"/>
    <n v="-10.3"/>
    <x v="0"/>
  </r>
  <r>
    <d v="2025-03-01T00:00:00"/>
    <x v="2"/>
    <n v="2025030101"/>
    <s v="EFTPOS"/>
    <s v=""/>
    <s v="Cascade Superette Pakuranga He"/>
    <x v="40"/>
    <x v="4"/>
    <s v="EFTPOS"/>
    <n v="-4.6100000000000003"/>
    <x v="0"/>
  </r>
  <r>
    <d v="2025-03-01T00:00:00"/>
    <x v="2"/>
    <n v="2025030103"/>
    <s v="EFTPOS"/>
    <s v=""/>
    <s v="OffshoreServiceMargins"/>
    <x v="10"/>
    <x v="7"/>
    <s v="EFTPOS"/>
    <n v="-0.56999999999999995"/>
    <x v="0"/>
  </r>
  <r>
    <d v="2025-03-01T00:00:00"/>
    <x v="2"/>
    <n v="2025030102"/>
    <s v="EFTPOS"/>
    <s v=""/>
    <s v="RAZ*RIGIat 0.5628*"/>
    <x v="47"/>
    <x v="13"/>
    <s v="EFTPOS"/>
    <n v="-27.24"/>
    <x v="0"/>
  </r>
  <r>
    <d v="2025-03-02T00:00:00"/>
    <x v="2"/>
    <n v="2025030201"/>
    <s v="EFTPOS"/>
    <s v=""/>
    <s v="BP CONNECT PAKURANGA AUCKLAND"/>
    <x v="34"/>
    <x v="12"/>
    <s v="EFTPOS"/>
    <n v="-10.7"/>
    <x v="0"/>
  </r>
  <r>
    <d v="2025-03-03T00:00:00"/>
    <x v="2"/>
    <n v="2025030301"/>
    <s v="EFTPOS"/>
    <s v=""/>
    <s v="NETFLIX.COMLOS GATOS CA"/>
    <x v="0"/>
    <x v="0"/>
    <s v="EFTPOS"/>
    <n v="-27.99"/>
    <x v="0"/>
  </r>
  <r>
    <d v="2025-03-04T00:00:00"/>
    <x v="2"/>
    <n v="2025030401"/>
    <s v="EFTPOS"/>
    <s v=""/>
    <s v="Spotify P34993A1C6 Stockholm"/>
    <x v="1"/>
    <x v="0"/>
    <s v="EFTPOS"/>
    <n v="-18.989999999999998"/>
    <x v="0"/>
  </r>
  <r>
    <d v="2025-03-05T00:00:00"/>
    <x v="2"/>
    <n v="2025030501"/>
    <s v="EFTPOS"/>
    <s v=""/>
    <s v="NEW WORLD SOUTHMALL MANUREWA"/>
    <x v="42"/>
    <x v="1"/>
    <s v="EFTPOS"/>
    <n v="-10.58"/>
    <x v="0"/>
  </r>
  <r>
    <d v="2025-03-07T00:00:00"/>
    <x v="2"/>
    <n v="2025030702"/>
    <s v="EFTPOS"/>
    <s v=""/>
    <s v="OffshoreServiceMargins"/>
    <x v="10"/>
    <x v="7"/>
    <s v="EFTPOS"/>
    <n v="-0.37"/>
    <x v="0"/>
  </r>
  <r>
    <d v="2025-03-07T00:00:00"/>
    <x v="2"/>
    <n v="2025030701"/>
    <s v="EFTPOS"/>
    <s v=""/>
    <s v="Steam"/>
    <x v="12"/>
    <x v="2"/>
    <s v="EFTPOS"/>
    <n v="-17.73"/>
    <x v="0"/>
  </r>
  <r>
    <d v="2025-03-12T00:00:00"/>
    <x v="2"/>
    <n v="2025031202"/>
    <s v="TFR IN"/>
    <s v=""/>
    <s v="ATM DEPOSIT"/>
    <x v="22"/>
    <x v="3"/>
    <s v="CARD 7315"/>
    <n v="130"/>
    <x v="1"/>
  </r>
  <r>
    <d v="2025-03-12T00:00:00"/>
    <x v="2"/>
    <n v="2025031201"/>
    <s v="EFTPOS"/>
    <s v=""/>
    <s v="Chemist Warehouse Ronwood Ctr"/>
    <x v="30"/>
    <x v="1"/>
    <s v="EFTPOS"/>
    <n v="-55"/>
    <x v="0"/>
  </r>
  <r>
    <d v="2025-03-16T00:00:00"/>
    <x v="2"/>
    <n v="2025031601"/>
    <s v="EFTPOS"/>
    <s v=""/>
    <s v="BP CONNECT PAKURANGA AUCKLAND"/>
    <x v="34"/>
    <x v="12"/>
    <s v="EFTPOS"/>
    <n v="-11.89"/>
    <x v="0"/>
  </r>
  <r>
    <d v="2025-03-18T00:00:00"/>
    <x v="2"/>
    <n v="2025031801"/>
    <s v="EFTPOS"/>
    <s v=""/>
    <s v="AMAZON PRIMEVIDEO NZ SINGAPORE"/>
    <x v="25"/>
    <x v="0"/>
    <s v="EFTPOS"/>
    <n v="-10.99"/>
    <x v="0"/>
  </r>
  <r>
    <d v="2025-03-20T00:00:00"/>
    <x v="2"/>
    <n v="2025032001"/>
    <s v="D/D"/>
    <s v=""/>
    <s v="AMI Insurance"/>
    <x v="28"/>
    <x v="7"/>
    <s v="D/D 4047200 25079-171971"/>
    <n v="-130.72"/>
    <x v="0"/>
  </r>
  <r>
    <d v="2025-03-25T00:00:00"/>
    <x v="2"/>
    <n v="2025032501"/>
    <s v="EFTPOS"/>
    <s v=""/>
    <s v="Chemist Warehouse Ronwood Ctr"/>
    <x v="30"/>
    <x v="1"/>
    <s v="EFTPOS"/>
    <n v="-31.98"/>
    <x v="0"/>
  </r>
  <r>
    <d v="2025-03-27T00:00:00"/>
    <x v="2"/>
    <n v="2025032701"/>
    <s v="EFTPOS"/>
    <s v=""/>
    <s v="APPLE.COM/BILL SYDNEY"/>
    <x v="4"/>
    <x v="2"/>
    <s v="EFTPOS"/>
    <n v="-1.99"/>
    <x v="0"/>
  </r>
  <r>
    <d v="2025-04-02T00:00:00"/>
    <x v="3"/>
    <n v="2025040202"/>
    <s v="D/C"/>
    <s v=""/>
    <s v="D/C FROM From MR N RAWAT"/>
    <x v="48"/>
    <x v="3"/>
    <s v="cash"/>
    <n v="130"/>
    <x v="1"/>
  </r>
  <r>
    <d v="2025-04-03T00:00:00"/>
    <x v="3"/>
    <n v="2025040301"/>
    <s v="EFTPOS"/>
    <s v=""/>
    <s v="Netflix NewZealand -"/>
    <x v="49"/>
    <x v="0"/>
    <s v="EFTPOS"/>
    <n v="-27.99"/>
    <x v="0"/>
  </r>
  <r>
    <d v="2025-04-04T00:00:00"/>
    <x v="3"/>
    <n v="2025040401"/>
    <s v="EFTPOS"/>
    <s v=""/>
    <s v="Spotify P358BE53AA Stockholm"/>
    <x v="1"/>
    <x v="0"/>
    <s v="EFTPOS"/>
    <n v="-18.989999999999998"/>
    <x v="0"/>
  </r>
  <r>
    <d v="2025-04-09T00:00:00"/>
    <x v="3"/>
    <n v="2025040902"/>
    <s v="D/C"/>
    <s v=""/>
    <s v="D/C FROM From MR N RAWAT"/>
    <x v="48"/>
    <x v="3"/>
    <s v="money"/>
    <n v="150"/>
    <x v="1"/>
  </r>
  <r>
    <d v="2025-04-09T00:00:00"/>
    <x v="3"/>
    <n v="2025040903"/>
    <s v="D/C"/>
    <s v=""/>
    <s v="D/C FROM From MS N RAWAT"/>
    <x v="48"/>
    <x v="3"/>
    <s v="money money money"/>
    <n v="150"/>
    <x v="1"/>
  </r>
  <r>
    <d v="2025-04-09T00:00:00"/>
    <x v="3"/>
    <n v="2025040901"/>
    <s v="EFTPOS"/>
    <s v=""/>
    <s v="SUBWAY CALTEX PAPATOETOE AUCKLAND"/>
    <x v="50"/>
    <x v="4"/>
    <s v="EFTPOS"/>
    <n v="-25.6"/>
    <x v="0"/>
  </r>
  <r>
    <d v="2025-04-12T00:00:00"/>
    <x v="3"/>
    <n v="2025041201"/>
    <s v="EFTPOS"/>
    <s v=""/>
    <s v="NZ TRANSPORTAGENCY-ECOM PALMERSTON N"/>
    <x v="51"/>
    <x v="7"/>
    <s v="EFTPOS"/>
    <n v="-135.84"/>
    <x v="0"/>
  </r>
  <r>
    <d v="2025-04-18T00:00:00"/>
    <x v="3"/>
    <n v="2025041801"/>
    <s v="EFTPOS"/>
    <s v=""/>
    <s v="AMAZON PRIMEVIDEO NZ SINGAPORE"/>
    <x v="25"/>
    <x v="0"/>
    <s v="EFTPOS"/>
    <n v="-10.99"/>
    <x v="0"/>
  </r>
  <r>
    <d v="2025-04-18T00:00:00"/>
    <x v="3"/>
    <n v="2025041803"/>
    <s v="EFTPOS"/>
    <s v=""/>
    <s v="OffshoreServiceMargins"/>
    <x v="10"/>
    <x v="7"/>
    <s v="EFTPOS"/>
    <n v="-0.36"/>
    <x v="0"/>
  </r>
  <r>
    <d v="2025-04-18T00:00:00"/>
    <x v="3"/>
    <n v="2025041802"/>
    <s v="EFTPOS"/>
    <s v=""/>
    <s v="Steam"/>
    <x v="12"/>
    <x v="2"/>
    <s v="EFTPOS"/>
    <n v="-16.98"/>
    <x v="0"/>
  </r>
  <r>
    <d v="2025-04-22T00:00:00"/>
    <x v="3"/>
    <n v="2025042201"/>
    <s v="D/D"/>
    <s v=""/>
    <s v="AMI Insurance"/>
    <x v="28"/>
    <x v="7"/>
    <s v="D/D 4047200 25112-405128"/>
    <n v="-130.72"/>
    <x v="0"/>
  </r>
  <r>
    <d v="2025-04-29T00:00:00"/>
    <x v="3"/>
    <n v="2025042901"/>
    <s v="EFTPOS"/>
    <s v=""/>
    <s v="PAK N SAVE MANUKAU AUCKLAND"/>
    <x v="23"/>
    <x v="10"/>
    <s v="EFTPOS"/>
    <n v="-15.98"/>
    <x v="0"/>
  </r>
  <r>
    <d v="2025-04-30T00:00:00"/>
    <x v="3"/>
    <n v="2025043001"/>
    <s v="BILLPAY"/>
    <s v=""/>
    <s v="PMT TO FC06-0594-0194964-00"/>
    <x v="33"/>
    <x v="8"/>
    <s v="BILL PAYMENT TO Pankaj Rawat"/>
    <n v="-15"/>
    <x v="0"/>
  </r>
  <r>
    <d v="2025-05-02T00:00:00"/>
    <x v="4"/>
    <n v="2025050201"/>
    <s v="EFTPOS"/>
    <s v=""/>
    <s v="Chemist Warehouse Ronwood Ctr"/>
    <x v="52"/>
    <x v="1"/>
    <s v="EFTPOS"/>
    <n v="-16.989999999999998"/>
    <x v="0"/>
  </r>
  <r>
    <d v="2025-05-03T00:00:00"/>
    <x v="4"/>
    <n v="2025050301"/>
    <s v="EFTPOS"/>
    <s v=""/>
    <s v="NETFLIX.COMLOS GATOS CA"/>
    <x v="0"/>
    <x v="0"/>
    <s v="EFTPOS"/>
    <n v="-27.99"/>
    <x v="0"/>
  </r>
  <r>
    <d v="2025-05-04T00:00:00"/>
    <x v="4"/>
    <n v="2025050401"/>
    <s v="EFTPOS"/>
    <s v=""/>
    <s v="Spotify P367654656 Stockholm"/>
    <x v="1"/>
    <x v="0"/>
    <s v="EFTPOS"/>
    <n v="-18.989999999999998"/>
    <x v="0"/>
  </r>
  <r>
    <d v="2025-05-18T00:00:00"/>
    <x v="4"/>
    <n v="2025051801"/>
    <s v="EFTPOS"/>
    <s v=""/>
    <s v="AMAZON PRIMEVIDEO NZ SINGAPORE"/>
    <x v="25"/>
    <x v="0"/>
    <s v="EFTPOS"/>
    <n v="-10.99"/>
    <x v="0"/>
  </r>
  <r>
    <d v="2025-05-18T00:00:00"/>
    <x v="4"/>
    <n v="2025051803"/>
    <s v="EFTPOS"/>
    <s v=""/>
    <s v="OffshoreServiceMargins"/>
    <x v="10"/>
    <x v="7"/>
    <s v="EFTPOS"/>
    <n v="-0.36"/>
    <x v="0"/>
  </r>
  <r>
    <d v="2025-05-18T00:00:00"/>
    <x v="4"/>
    <n v="2025051802"/>
    <s v="EFTPOS"/>
    <s v=""/>
    <s v="Steam"/>
    <x v="12"/>
    <x v="2"/>
    <s v="EFTPOS"/>
    <n v="-17.05"/>
    <x v="0"/>
  </r>
  <r>
    <d v="2025-05-20T00:00:00"/>
    <x v="4"/>
    <n v="2025052001"/>
    <s v="D/D"/>
    <s v=""/>
    <s v="AMI Insurance"/>
    <x v="28"/>
    <x v="7"/>
    <s v="D/D 4047200 25140-606798"/>
    <n v="-130.72"/>
    <x v="0"/>
  </r>
  <r>
    <d v="2025-05-23T00:00:00"/>
    <x v="4"/>
    <n v="2025052301"/>
    <s v="EFTPOS"/>
    <s v=""/>
    <s v="Chemist Warehouse Manukau"/>
    <x v="30"/>
    <x v="1"/>
    <s v="EFTPOS"/>
    <n v="-18.989999999999998"/>
    <x v="0"/>
  </r>
  <r>
    <d v="2025-05-23T00:00:00"/>
    <x v="4"/>
    <n v="2025052303"/>
    <s v="D/C"/>
    <s v=""/>
    <s v="D/C FROM From MR N RAWAT"/>
    <x v="48"/>
    <x v="3"/>
    <s v="j"/>
    <n v="150"/>
    <x v="1"/>
  </r>
  <r>
    <d v="2025-05-28T00:00:00"/>
    <x v="4"/>
    <n v="2025052801"/>
    <s v="EFTPOS"/>
    <s v=""/>
    <s v="THE WAREHOUSE 405 MANUKA AUCKLAND"/>
    <x v="53"/>
    <x v="1"/>
    <s v="EFTPOS"/>
    <n v="-5"/>
    <x v="0"/>
  </r>
  <r>
    <d v="2025-05-30T00:00:00"/>
    <x v="4"/>
    <n v="2025053001"/>
    <s v="EFTPOS"/>
    <s v=""/>
    <s v="PAK N SAVE MANUKAU AUCKLAND"/>
    <x v="23"/>
    <x v="10"/>
    <s v="EFTPOS"/>
    <n v="-13.28"/>
    <x v="0"/>
  </r>
  <r>
    <d v="2025-06-03T00:00:00"/>
    <x v="5"/>
    <n v="2025060301"/>
    <s v="EFTPOS"/>
    <s v=""/>
    <s v="NETFLIX.COMLOS GATOS CA"/>
    <x v="0"/>
    <x v="0"/>
    <s v="EFTPOS"/>
    <n v="-33.99"/>
    <x v="0"/>
  </r>
  <r>
    <d v="2025-06-03T00:00:00"/>
    <x v="5"/>
    <n v="2025060302"/>
    <s v="EFTPOS"/>
    <s v=""/>
    <s v="PAK N SAVE ORMISTON AUCKLAND"/>
    <x v="23"/>
    <x v="10"/>
    <s v="EFTPOS"/>
    <n v="-23.76"/>
    <x v="0"/>
  </r>
  <r>
    <d v="2025-06-07T00:00:00"/>
    <x v="5"/>
    <n v="2025060701"/>
    <s v="EFTPOS"/>
    <s v=""/>
    <s v="Revolut**9418* Wellington"/>
    <x v="54"/>
    <x v="14"/>
    <s v="EFTPOS"/>
    <n v="-10"/>
    <x v="0"/>
  </r>
  <r>
    <d v="2025-06-09T00:00:00"/>
    <x v="5"/>
    <n v="2025060901"/>
    <s v="D/C"/>
    <s v=""/>
    <s v="D/C FROM I.R.D. 126-890-230"/>
    <x v="55"/>
    <x v="3"/>
    <s v="D29697488# INC 31/03/2025"/>
    <n v="555.70000000000005"/>
    <x v="1"/>
  </r>
  <r>
    <d v="2025-06-09T00:00:00"/>
    <x v="5"/>
    <n v="2025060902"/>
    <s v="EFTPOS"/>
    <s v=""/>
    <s v="SMITS COACHING MOLDE"/>
    <x v="56"/>
    <x v="13"/>
    <s v="EFTPOS"/>
    <n v="-170.57"/>
    <x v="0"/>
  </r>
  <r>
    <d v="2025-06-11T00:00:00"/>
    <x v="5"/>
    <n v="2025061101"/>
    <s v="EFTPOS"/>
    <s v=""/>
    <s v="PAK N SAVE MANUKAU AUCKLAND"/>
    <x v="23"/>
    <x v="10"/>
    <s v="EFTPOS"/>
    <n v="-27.15"/>
    <x v="0"/>
  </r>
  <r>
    <d v="2025-06-18T00:00:00"/>
    <x v="5"/>
    <n v="2025061801"/>
    <s v="EFTPOS"/>
    <s v=""/>
    <s v="AMAZON PRIMEVIDEO NZ SINGAPORE"/>
    <x v="25"/>
    <x v="0"/>
    <s v="EFTPOS"/>
    <n v="-10.99"/>
    <x v="0"/>
  </r>
  <r>
    <d v="2025-06-18T00:00:00"/>
    <x v="5"/>
    <n v="2025061802"/>
    <s v="EFTPOS"/>
    <s v=""/>
    <s v="PAK N SAVE MANUKAU AUCKLAND"/>
    <x v="23"/>
    <x v="10"/>
    <s v="EFTPOS"/>
    <n v="-31.45"/>
    <x v="0"/>
  </r>
  <r>
    <d v="2025-06-21T00:00:00"/>
    <x v="5"/>
    <n v="2025062101"/>
    <s v="EFTPOS"/>
    <s v=""/>
    <s v="BIG BOSS BARBER CHAPEL R AUCKLAND"/>
    <x v="9"/>
    <x v="6"/>
    <s v="EFTPOS"/>
    <n v="-35.880000000000003"/>
    <x v="0"/>
  </r>
  <r>
    <d v="2025-06-21T00:00:00"/>
    <x v="5"/>
    <n v="2025062102"/>
    <s v="EFTPOS"/>
    <s v=""/>
    <s v="Pgenie IndiaPrivate Lim Gurgaon"/>
    <x v="57"/>
    <x v="10"/>
    <s v="EFTPOS"/>
    <n v="-10.83"/>
    <x v="0"/>
  </r>
  <r>
    <d v="2025-06-23T00:00:00"/>
    <x v="5"/>
    <n v="2025062301"/>
    <s v="D/D"/>
    <s v=""/>
    <s v="AMI Insurance"/>
    <x v="28"/>
    <x v="7"/>
    <s v="D/D 4047200 25174-815760"/>
    <n v="-130.72"/>
    <x v="0"/>
  </r>
  <r>
    <d v="2025-06-25T00:00:00"/>
    <x v="5"/>
    <n v="2025062501"/>
    <s v="D/C"/>
    <s v=""/>
    <s v="D/C FROM From MR N RAWAT"/>
    <x v="48"/>
    <x v="3"/>
    <s v="jzjzk"/>
    <n v="130"/>
    <x v="1"/>
  </r>
  <r>
    <d v="2025-06-26T00:00:00"/>
    <x v="5"/>
    <n v="2025062601"/>
    <s v="EFTPOS"/>
    <s v=""/>
    <s v="SOUTHPOINT FAMILY DOCTOR AUCKLAND"/>
    <x v="32"/>
    <x v="11"/>
    <s v="EFTPOS"/>
    <n v="-19.89"/>
    <x v="0"/>
  </r>
  <r>
    <d v="2025-06-29T00:00:00"/>
    <x v="5"/>
    <n v="2025062902"/>
    <s v="EFTPOS"/>
    <s v=""/>
    <s v="OffshoreServiceMargins"/>
    <x v="10"/>
    <x v="7"/>
    <s v="EFTPOS"/>
    <n v="-0.35"/>
    <x v="0"/>
  </r>
  <r>
    <d v="2025-06-29T00:00:00"/>
    <x v="5"/>
    <n v="2025062901"/>
    <s v="EFTPOS"/>
    <s v=""/>
    <s v="Steam"/>
    <x v="12"/>
    <x v="2"/>
    <s v="EFTPOS"/>
    <n v="-16.55"/>
    <x v="0"/>
  </r>
  <r>
    <d v="2025-07-02T00:00:00"/>
    <x v="6"/>
    <n v="2025070202"/>
    <s v="EFTPOS"/>
    <s v=""/>
    <s v="OffshoreServiceMargins"/>
    <x v="10"/>
    <x v="7"/>
    <s v="EFTPOS"/>
    <n v="-0.04"/>
    <x v="0"/>
  </r>
  <r>
    <d v="2025-07-02T00:00:00"/>
    <x v="6"/>
    <n v="2025070201"/>
    <s v="EFTPOS"/>
    <s v=""/>
    <s v="SUPPORTPDFFILLER.COM at 0.6039*"/>
    <x v="58"/>
    <x v="9"/>
    <s v="EFTPOS"/>
    <n v="-2.0699999999999998"/>
    <x v="0"/>
  </r>
  <r>
    <d v="2025-07-04T00:00:00"/>
    <x v="6"/>
    <n v="2025070402"/>
    <s v="D/C"/>
    <s v=""/>
    <s v="D/C FROM USD 1.25"/>
    <x v="59"/>
    <x v="13"/>
    <s v="SUPPORTPDFFI LLER.COM 855-7501663"/>
    <n v="2.0499999999999998"/>
    <x v="1"/>
  </r>
  <r>
    <d v="2025-07-04T00:00:00"/>
    <x v="6"/>
    <n v="2025070401"/>
    <s v="EFTPOS"/>
    <s v=""/>
    <s v="PAK N SAVE MANUKAU AUCKLAND"/>
    <x v="23"/>
    <x v="10"/>
    <s v="EFTPOS"/>
    <n v="-18.07"/>
    <x v="0"/>
  </r>
  <r>
    <d v="2025-07-13T00:00:00"/>
    <x v="6"/>
    <n v="2025071301"/>
    <s v="EFTPOS"/>
    <s v=""/>
    <s v="AT PUBLIC TRANSPORT AUCKLAND"/>
    <x v="60"/>
    <x v="5"/>
    <s v="EFTPOS"/>
    <n v="-2.8"/>
    <x v="0"/>
  </r>
  <r>
    <d v="2025-07-15T00:00:00"/>
    <x v="6"/>
    <n v="2025071501"/>
    <s v="EFTPOS"/>
    <s v=""/>
    <s v="AMAZON PRIMEVIDEO NZ SINGAPORE"/>
    <x v="25"/>
    <x v="0"/>
    <s v="EFTPOS"/>
    <n v="-0.99"/>
    <x v="0"/>
  </r>
  <r>
    <d v="2025-07-18T00:00:00"/>
    <x v="6"/>
    <n v="2025071801"/>
    <s v="EFTPOS"/>
    <s v=""/>
    <s v="AMAZON PRIMEVIDEO NZ SINGAPORE"/>
    <x v="25"/>
    <x v="0"/>
    <s v="EFTPOS"/>
    <n v="-10.99"/>
    <x v="0"/>
  </r>
  <r>
    <d v="2025-07-21T00:00:00"/>
    <x v="6"/>
    <n v="2025072101"/>
    <s v="D/D"/>
    <s v=""/>
    <s v="AMI Insurance"/>
    <x v="28"/>
    <x v="7"/>
    <s v="D/D 4047200 25202-976414"/>
    <n v="-130.72"/>
    <x v="0"/>
  </r>
  <r>
    <d v="2025-07-28T00:00:00"/>
    <x v="6"/>
    <n v="2025072801"/>
    <s v="TFR IN"/>
    <s v=""/>
    <s v="ATM DEPOSIT"/>
    <x v="22"/>
    <x v="3"/>
    <s v="CARD 7315"/>
    <n v="675"/>
    <x v="1"/>
  </r>
  <r>
    <d v="2025-07-28T00:00:00"/>
    <x v="6"/>
    <n v="2025072804"/>
    <s v="EFTPOS"/>
    <s v=""/>
    <s v="OffshoreServiceMargins"/>
    <x v="10"/>
    <x v="7"/>
    <s v="EFTPOS"/>
    <n v="-0.35"/>
    <x v="0"/>
  </r>
  <r>
    <d v="2025-07-28T00:00:00"/>
    <x v="6"/>
    <n v="2025072803"/>
    <s v="EFTPOS"/>
    <s v=""/>
    <s v="Steam"/>
    <x v="12"/>
    <x v="2"/>
    <s v="EFTPOS"/>
    <n v="-16.66"/>
    <x v="0"/>
  </r>
  <r>
    <d v="2025-08-02T00:00:00"/>
    <x v="7"/>
    <n v="2025080201"/>
    <s v="EFTPOS"/>
    <s v=""/>
    <s v="Chemist Warehouse Ronwood Ctr"/>
    <x v="30"/>
    <x v="1"/>
    <s v="EFTPOS"/>
    <n v="-27.58"/>
    <x v="0"/>
  </r>
  <r>
    <d v="2025-08-06T00:00:00"/>
    <x v="7"/>
    <n v="2025080601"/>
    <s v="EFTPOS"/>
    <s v=""/>
    <s v="DEPT OF INTERNAL AFFAIRS WELLINGTON"/>
    <x v="61"/>
    <x v="7"/>
    <s v="EFTPOS"/>
    <n v="-470.2"/>
    <x v="0"/>
  </r>
  <r>
    <d v="2025-08-15T00:00:00"/>
    <x v="7"/>
    <n v="2025081501"/>
    <s v="EFTPOS"/>
    <s v=""/>
    <s v="AMAZON PRIMEVIDEO NZ SINGAPORE"/>
    <x v="25"/>
    <x v="0"/>
    <s v="EFTPOS"/>
    <n v="-0.99"/>
    <x v="0"/>
  </r>
  <r>
    <d v="2025-08-19T00:00:00"/>
    <x v="7"/>
    <n v="2025081902"/>
    <s v="EFTPOS"/>
    <s v=""/>
    <s v="AMAZON PRIMEVIDEO NZ SINGAPORE"/>
    <x v="25"/>
    <x v="0"/>
    <s v="EFTPOS"/>
    <n v="-10.99"/>
    <x v="0"/>
  </r>
  <r>
    <d v="2025-08-19T00:00:00"/>
    <x v="7"/>
    <n v="2025081903"/>
    <s v="TFR IN"/>
    <s v=""/>
    <s v="ATM DEPOSIT"/>
    <x v="22"/>
    <x v="3"/>
    <s v="CARD 7315"/>
    <n v="215"/>
    <x v="1"/>
  </r>
  <r>
    <d v="2025-08-19T00:00:00"/>
    <x v="7"/>
    <n v="2025081901"/>
    <s v="EFTPOS"/>
    <s v=""/>
    <s v="SOUTHPOINT FAMILY DOCTOR AUCKLAND"/>
    <x v="32"/>
    <x v="11"/>
    <s v="EFTPOS"/>
    <n v="-19.89"/>
    <x v="0"/>
  </r>
  <r>
    <d v="2025-08-20T00:00:00"/>
    <x v="7"/>
    <n v="2025082001"/>
    <s v="EFTPOS"/>
    <s v=""/>
    <s v="AWANUI MANUKAU MANUKAU"/>
    <x v="62"/>
    <x v="1"/>
    <s v="EFTPOS"/>
    <n v="-102"/>
    <x v="0"/>
  </r>
  <r>
    <d v="2025-08-21T00:00:00"/>
    <x v="7"/>
    <n v="2025082101"/>
    <s v="D/D"/>
    <s v=""/>
    <s v="AMI Insurance"/>
    <x v="28"/>
    <x v="7"/>
    <s v="D/D AMIInsurance 330160351170 MOTA01330204"/>
    <n v="-155.47"/>
    <x v="0"/>
  </r>
  <r>
    <d v="2025-08-25T00:00:00"/>
    <x v="7"/>
    <n v="2025082501"/>
    <s v="D/C"/>
    <s v=""/>
    <s v="D/C FROM From JAI SHRI RAM LI"/>
    <x v="48"/>
    <x v="3"/>
    <s v="m singh  help"/>
    <n v="312.5"/>
    <x v="1"/>
  </r>
  <r>
    <d v="2025-08-28T00:00:00"/>
    <x v="7"/>
    <n v="2025082802"/>
    <s v="EFTPOS"/>
    <s v=""/>
    <s v="OffshoreServiceMargins"/>
    <x v="10"/>
    <x v="7"/>
    <s v="EFTPOS"/>
    <n v="-0.36"/>
    <x v="0"/>
  </r>
  <r>
    <d v="2025-08-28T00:00:00"/>
    <x v="7"/>
    <n v="2025082801"/>
    <s v="EFTPOS"/>
    <s v=""/>
    <s v="Steam"/>
    <x v="12"/>
    <x v="2"/>
    <s v="EFTPOS"/>
    <n v="-17.14"/>
    <x v="0"/>
  </r>
  <r>
    <d v="2025-08-29T00:00:00"/>
    <x v="7"/>
    <n v="2025082901"/>
    <s v="EFTPOS"/>
    <s v=""/>
    <s v="www.chemistwarehouse.co. Auckland"/>
    <x v="63"/>
    <x v="1"/>
    <s v="EFTPOS"/>
    <n v="-50.97"/>
    <x v="0"/>
  </r>
  <r>
    <d v="2025-08-30T00:00:00"/>
    <x v="7"/>
    <n v="2025083001"/>
    <s v="EFTPOS"/>
    <s v=""/>
    <s v="Spotify P3A09977EA Stockholm"/>
    <x v="1"/>
    <x v="0"/>
    <s v="EFTPOS"/>
    <n v="-9.49"/>
    <x v="0"/>
  </r>
  <r>
    <d v="2025-09-01T00:00:00"/>
    <x v="8"/>
    <n v="2025090101"/>
    <s v="D/C"/>
    <s v=""/>
    <s v="D/C FROM From JAI SHRI RAM LI"/>
    <x v="48"/>
    <x v="3"/>
    <s v="m s  help"/>
    <n v="212.5"/>
    <x v="1"/>
  </r>
  <r>
    <d v="2025-09-01T00:00:00"/>
    <x v="8"/>
    <n v="2025090102"/>
    <s v="D/C"/>
    <s v=""/>
    <s v="D/C FROM IAG NEW ZEALAND"/>
    <x v="64"/>
    <x v="3"/>
    <s v="MOTA01330204 350120003956 AMIINSURANC"/>
    <n v="104.36"/>
    <x v="1"/>
  </r>
  <r>
    <d v="2025-09-07T00:00:00"/>
    <x v="8"/>
    <n v="2025090702"/>
    <s v="EFTPOS"/>
    <s v=""/>
    <s v="Chemist Warehouse Ronwood Ctr"/>
    <x v="30"/>
    <x v="1"/>
    <s v="EFTPOS"/>
    <n v="-32.979999999999997"/>
    <x v="0"/>
  </r>
  <r>
    <d v="2025-09-07T00:00:00"/>
    <x v="8"/>
    <n v="2025090701"/>
    <s v="EFTPOS"/>
    <s v=""/>
    <s v="STRANDBAGS 344 MANUKAU CITY"/>
    <x v="65"/>
    <x v="1"/>
    <s v="EFTPOS"/>
    <n v="-35.99"/>
    <x v="0"/>
  </r>
  <r>
    <d v="2025-09-09T00:00:00"/>
    <x v="8"/>
    <n v="2025090901"/>
    <s v="D/C"/>
    <s v=""/>
    <s v="D/C FROM From JAI SHRI RAM LI"/>
    <x v="48"/>
    <x v="3"/>
    <s v="s d  help"/>
    <n v="210"/>
    <x v="1"/>
  </r>
  <r>
    <d v="2025-09-12T00:00:00"/>
    <x v="8"/>
    <n v="2025091201"/>
    <s v="EFTPOS"/>
    <s v=""/>
    <s v="www.chemistwarehouse.co. Auckland"/>
    <x v="63"/>
    <x v="1"/>
    <s v="EFTPOS"/>
    <n v="-55.97"/>
    <x v="0"/>
  </r>
  <r>
    <d v="2025-09-13T00:00:00"/>
    <x v="8"/>
    <n v="2025091301"/>
    <s v="EFTPOS"/>
    <s v=""/>
    <s v="2DEGREES MOBILE AUCKLAND"/>
    <x v="66"/>
    <x v="7"/>
    <s v="EFTPOS"/>
    <n v="-10"/>
    <x v="0"/>
  </r>
  <r>
    <d v="2025-09-15T00:00:00"/>
    <x v="8"/>
    <n v="2025091501"/>
    <s v="D/C"/>
    <s v=""/>
    <s v="D/C FROM From JAI SHRI RAM LI"/>
    <x v="48"/>
    <x v="3"/>
    <s v="m s  for grocery"/>
    <n v="315"/>
    <x v="1"/>
  </r>
  <r>
    <d v="2025-09-19T00:00:00"/>
    <x v="8"/>
    <n v="2025091901"/>
    <s v="EFTPOS"/>
    <s v=""/>
    <s v="BIG BOSS BARBER CHAPEL R AUCKLAND"/>
    <x v="9"/>
    <x v="6"/>
    <s v="EFTPOS"/>
    <n v="-35.880000000000003"/>
    <x v="0"/>
  </r>
  <r>
    <d v="2025-09-22T00:00:00"/>
    <x v="8"/>
    <n v="2025092201"/>
    <s v="D/C"/>
    <s v=""/>
    <s v="D/C FROM From JAI SHRI RAM LI"/>
    <x v="48"/>
    <x v="3"/>
    <s v="m s  grocery"/>
    <n v="315"/>
    <x v="1"/>
  </r>
  <r>
    <d v="2025-09-23T00:00:00"/>
    <x v="8"/>
    <n v="2025092301"/>
    <s v="EFTPOS"/>
    <s v=""/>
    <s v="Chemist Warehouse Ronwood Ctr"/>
    <x v="30"/>
    <x v="1"/>
    <s v="EFTPOS"/>
    <n v="-28.98"/>
    <x v="0"/>
  </r>
  <r>
    <d v="2025-09-26T00:00:00"/>
    <x v="8"/>
    <n v="2025092601"/>
    <s v="EFTPOS"/>
    <s v=""/>
    <s v="WOOLWORTHS NZ/SHOP 99 MA MANUKAU"/>
    <x v="67"/>
    <x v="10"/>
    <s v="EFTPOS"/>
    <n v="-79.58"/>
    <x v="0"/>
  </r>
  <r>
    <d v="2025-09-27T00:00:00"/>
    <x v="8"/>
    <n v="2025092701"/>
    <s v="EFTPOS"/>
    <s v=""/>
    <s v="BP CONNECT PACIFIC MANUKAU"/>
    <x v="34"/>
    <x v="12"/>
    <s v="EFTPOS"/>
    <n v="-64.040000000000006"/>
    <x v="0"/>
  </r>
  <r>
    <d v="2025-10-06T00:00:00"/>
    <x v="9"/>
    <n v="2025100601"/>
    <s v="D/C"/>
    <s v=""/>
    <s v="D/C FROM From JAI SHRI RAM LI"/>
    <x v="48"/>
    <x v="3"/>
    <s v="R s  help"/>
    <n v="214"/>
    <x v="1"/>
  </r>
  <r>
    <d v="2025-10-06T00:00:00"/>
    <x v="9"/>
    <n v="2025100603"/>
    <s v="EFTPOS"/>
    <s v=""/>
    <s v="PAK N SAVE CLENDON AUCKLAND"/>
    <x v="23"/>
    <x v="10"/>
    <s v="EFTPOS"/>
    <n v="-82.08"/>
    <x v="0"/>
  </r>
  <r>
    <d v="2025-10-06T00:00:00"/>
    <x v="9"/>
    <n v="2025100602"/>
    <s v="BILLPAY"/>
    <s v=""/>
    <s v="PMT TO FC12-3436-0065861-00"/>
    <x v="11"/>
    <x v="8"/>
    <s v="BILL PAYMENT TO M Singh  Personal"/>
    <n v="-37.24"/>
    <x v="0"/>
  </r>
  <r>
    <d v="2025-10-13T00:00:00"/>
    <x v="9"/>
    <n v="2025101301"/>
    <s v="D/C"/>
    <s v=""/>
    <s v="D/C FROM From JAI SHRI RAM LI"/>
    <x v="48"/>
    <x v="3"/>
    <s v="s d  help"/>
    <n v="312.5"/>
    <x v="1"/>
  </r>
  <r>
    <d v="2025-10-16T00:00:00"/>
    <x v="9"/>
    <n v="2025101601"/>
    <s v="EFTPOS"/>
    <s v=""/>
    <s v="Chemist Warehouse Manukau"/>
    <x v="68"/>
    <x v="1"/>
    <s v="EFTPOS"/>
    <n v="-14.99"/>
    <x v="0"/>
  </r>
  <r>
    <d v="2025-10-17T00:00:00"/>
    <x v="9"/>
    <n v="2025101701"/>
    <s v="EFTPOS"/>
    <s v=""/>
    <s v="FITNESS PLUSAUCKLAND"/>
    <x v="69"/>
    <x v="15"/>
    <s v="EFTPOS"/>
    <n v="-79.95"/>
    <x v="0"/>
  </r>
  <r>
    <d v="2025-10-18T00:00:00"/>
    <x v="9"/>
    <n v="2025101801"/>
    <s v="EFTPOS"/>
    <s v=""/>
    <s v="Cascade Superette Pakuranga He"/>
    <x v="40"/>
    <x v="4"/>
    <s v="EFTPOS"/>
    <n v="-4.6100000000000003"/>
    <x v="0"/>
  </r>
  <r>
    <d v="2025-10-19T00:00:00"/>
    <x v="9"/>
    <n v="2025101901"/>
    <s v="EFTPOS"/>
    <s v=""/>
    <s v="BP CONNECT PAKURANGA AUCKLAND"/>
    <x v="34"/>
    <x v="12"/>
    <s v="EFTPOS"/>
    <n v="-14.99"/>
    <x v="0"/>
  </r>
  <r>
    <d v="2025-10-21T00:00:00"/>
    <x v="9"/>
    <n v="2025102101"/>
    <s v="BILLPAY"/>
    <s v=""/>
    <s v="PMT TO FC06-0222-0948286-00"/>
    <x v="33"/>
    <x v="8"/>
    <s v="BILL PAYMENT TO pankaj"/>
    <n v="-150"/>
    <x v="0"/>
  </r>
  <r>
    <d v="2025-10-22T00:00:00"/>
    <x v="9"/>
    <n v="2025102201"/>
    <s v="D/D"/>
    <s v=""/>
    <s v="DEBITSUCCESS"/>
    <x v="70"/>
    <x v="3"/>
    <s v="D/D FITNESS PLUS A00KERFD0FRG FPMK887814"/>
    <n v="-15"/>
    <x v="0"/>
  </r>
  <r>
    <d v="2025-10-22T00:00:00"/>
    <x v="9"/>
    <n v="2025102202"/>
    <s v="D/D"/>
    <s v=""/>
    <s v="DEBITSUCCESS"/>
    <x v="70"/>
    <x v="3"/>
    <s v="D/D FITNESS PLUS A00KERFD0FRH FPMK887814"/>
    <n v="-18"/>
    <x v="0"/>
  </r>
  <r>
    <d v="2025-10-25T00:00:00"/>
    <x v="9"/>
    <n v="2025102501"/>
    <s v="EFTPOS"/>
    <s v=""/>
    <s v="Cascade Superette Pakuranga He"/>
    <x v="40"/>
    <x v="4"/>
    <s v="EFTPOS"/>
    <n v="-4.6100000000000003"/>
    <x v="0"/>
  </r>
  <r>
    <d v="2025-10-26T00:00:00"/>
    <x v="9"/>
    <n v="2025102601"/>
    <s v="EFTPOS"/>
    <s v=""/>
    <s v="BP CONNECT PAKURANGA AUCKLAND"/>
    <x v="34"/>
    <x v="12"/>
    <s v="EFTPOS"/>
    <n v="-17.600000000000001"/>
    <x v="0"/>
  </r>
  <r>
    <d v="2025-10-27T00:00:00"/>
    <x v="9"/>
    <n v="2025102701"/>
    <s v="EFTPOS"/>
    <s v=""/>
    <s v="PAK N SAVE CLENDON AUCKLAND"/>
    <x v="23"/>
    <x v="10"/>
    <s v="EFTPOS"/>
    <n v="-67.599999999999994"/>
    <x v="0"/>
  </r>
  <r>
    <d v="2025-10-28T00:00:00"/>
    <x v="9"/>
    <n v="2025102801"/>
    <s v="EFTPOS"/>
    <s v=""/>
    <s v="BP CONNECT PACIFIC MANUKAU"/>
    <x v="34"/>
    <x v="12"/>
    <s v="EFTPOS"/>
    <n v="-14.5"/>
    <x v="0"/>
  </r>
  <r>
    <d v="2025-10-28T00:00:00"/>
    <x v="9"/>
    <n v="2025102802"/>
    <s v="EFTPOS"/>
    <s v=""/>
    <s v="BP CONNECT PACIFIC MANUKAU"/>
    <x v="34"/>
    <x v="12"/>
    <s v="EFTPOS"/>
    <n v="-61.48"/>
    <x v="0"/>
  </r>
  <r>
    <d v="2025-10-28T00:00:00"/>
    <x v="9"/>
    <n v="2025102803"/>
    <s v="D/C"/>
    <s v=""/>
    <s v="D/C FROM From JAI SHRI RAM LI"/>
    <x v="48"/>
    <x v="3"/>
    <s v="m s  vegs"/>
    <n v="200.5"/>
    <x v="1"/>
  </r>
  <r>
    <d v="2025-10-29T00:00:00"/>
    <x v="9"/>
    <n v="2025102902"/>
    <s v="EFTPOS"/>
    <s v=""/>
    <s v="Chemist Warehouse Ronwood Ctr"/>
    <x v="30"/>
    <x v="1"/>
    <s v="EFTPOS"/>
    <n v="-44.88"/>
    <x v="0"/>
  </r>
  <r>
    <d v="2025-10-29T00:00:00"/>
    <x v="9"/>
    <n v="2025102901"/>
    <s v="D/D"/>
    <s v=""/>
    <s v="DEBITSUCCESS"/>
    <x v="70"/>
    <x v="3"/>
    <s v="D/D FITNESS PLUS A00KGKA20F5D FPMK887814"/>
    <n v="-18"/>
    <x v="0"/>
  </r>
  <r>
    <d v="2025-10-30T00:00:00"/>
    <x v="9"/>
    <n v="2025103001"/>
    <s v="TFR IN"/>
    <s v=""/>
    <s v="ATM DEPOSIT"/>
    <x v="22"/>
    <x v="3"/>
    <s v="CARD 7315"/>
    <n v="390"/>
    <x v="1"/>
  </r>
  <r>
    <d v="2025-10-30T00:00:00"/>
    <x v="9"/>
    <n v="2025103002"/>
    <s v="EFTPOS"/>
    <s v=""/>
    <s v="Chemist Warehouse Flat Bush"/>
    <x v="30"/>
    <x v="1"/>
    <s v="EFTPOS"/>
    <n v="-29.99"/>
    <x v="0"/>
  </r>
  <r>
    <d v="2025-10-30T00:00:00"/>
    <x v="9"/>
    <n v="2025103003"/>
    <s v="EFTPOS"/>
    <s v=""/>
    <s v="Spotify P3BF258548 Stockholm"/>
    <x v="1"/>
    <x v="0"/>
    <s v="EFTPOS"/>
    <n v="-18.989999999999998"/>
    <x v="0"/>
  </r>
  <r>
    <d v="2025-10-31T00:00:00"/>
    <x v="9"/>
    <n v="2025103101"/>
    <s v="EFTPOS"/>
    <s v=""/>
    <s v="BIG BOSS BARBER CHAPEL R AUCKLAND"/>
    <x v="9"/>
    <x v="6"/>
    <s v="EFTPOS"/>
    <n v="-35.880000000000003"/>
    <x v="0"/>
  </r>
  <r>
    <d v="2025-11-01T00:00:00"/>
    <x v="10"/>
    <n v="2025110101"/>
    <s v="EFTPOS"/>
    <s v=""/>
    <s v="Z EllerslieAuckland"/>
    <x v="71"/>
    <x v="4"/>
    <s v="EFTPOS"/>
    <n v="-17"/>
    <x v="0"/>
  </r>
  <r>
    <d v="2025-11-02T00:00:00"/>
    <x v="10"/>
    <n v="2025110202"/>
    <s v="EFTPOS"/>
    <s v=""/>
    <s v="BEVERLEY HILLS SUPRE AUCKLAND"/>
    <x v="72"/>
    <x v="4"/>
    <s v="EFTPOS"/>
    <n v="-3.06"/>
    <x v="0"/>
  </r>
  <r>
    <d v="2025-11-02T00:00:00"/>
    <x v="10"/>
    <n v="2025110203"/>
    <s v="EFTPOS"/>
    <s v=""/>
    <s v="ChemistWareh02102763901 79583113"/>
    <x v="30"/>
    <x v="1"/>
    <s v="EFTPOS"/>
    <n v="-177.64"/>
    <x v="0"/>
  </r>
  <r>
    <d v="2025-11-02T00:00:00"/>
    <x v="10"/>
    <n v="2025110201"/>
    <s v="D/C"/>
    <s v=""/>
    <s v="D/C FROM NZD 8.06"/>
    <x v="73"/>
    <x v="13"/>
    <s v="AMAZON PRIME VIDEO NZ SINGAPORE"/>
    <n v="8.0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05B436-5FE8-45D2-93A6-16839BBB13EA}" name="PivotTable2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3:B19" firstHeaderRow="1" firstDataRow="1" firstDataCol="1" rowPageCount="1" colPageCount="1"/>
  <pivotFields count="11">
    <pivotField compact="0" numFmtId="14" outline="0" showAll="0" defaultSubtotal="0">
      <extLst>
        <ext xmlns:x14="http://schemas.microsoft.com/office/spreadsheetml/2009/9/main" uri="{2946ED86-A175-432a-8AC1-64E0C546D7DE}">
          <x14:pivotField fillDownLabels="1"/>
        </ext>
      </extLst>
    </pivotField>
    <pivotField axis="axisPage"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4">
        <item x="6"/>
        <item x="20"/>
        <item x="3"/>
        <item x="66"/>
        <item x="25"/>
        <item x="28"/>
        <item x="4"/>
        <item x="60"/>
        <item x="8"/>
        <item x="22"/>
        <item x="62"/>
        <item x="72"/>
        <item x="9"/>
        <item x="34"/>
        <item x="19"/>
        <item x="40"/>
        <item x="68"/>
        <item x="30"/>
        <item x="52"/>
        <item x="13"/>
        <item x="48"/>
        <item x="29"/>
        <item x="55"/>
        <item x="64"/>
        <item x="73"/>
        <item x="59"/>
        <item x="70"/>
        <item x="61"/>
        <item x="39"/>
        <item x="45"/>
        <item x="69"/>
        <item x="15"/>
        <item x="31"/>
        <item x="18"/>
        <item x="41"/>
        <item x="44"/>
        <item x="7"/>
        <item x="0"/>
        <item x="49"/>
        <item x="42"/>
        <item x="17"/>
        <item x="26"/>
        <item x="51"/>
        <item x="10"/>
        <item x="23"/>
        <item x="57"/>
        <item x="38"/>
        <item x="33"/>
        <item x="11"/>
        <item x="16"/>
        <item x="47"/>
        <item x="46"/>
        <item x="27"/>
        <item x="54"/>
        <item x="35"/>
        <item x="24"/>
        <item x="56"/>
        <item x="32"/>
        <item x="1"/>
        <item x="12"/>
        <item x="65"/>
        <item x="5"/>
        <item x="50"/>
        <item x="58"/>
        <item x="21"/>
        <item x="36"/>
        <item x="14"/>
        <item x="53"/>
        <item x="43"/>
        <item x="2"/>
        <item x="67"/>
        <item x="63"/>
        <item x="37"/>
        <item x="71"/>
      </items>
      <extLst>
        <ext xmlns:x14="http://schemas.microsoft.com/office/spreadsheetml/2009/9/main" uri="{2946ED86-A175-432a-8AC1-64E0C546D7DE}">
          <x14:pivotField fillDownLabels="1"/>
        </ext>
      </extLst>
    </pivotField>
    <pivotField axis="axisRow" compact="0" outline="0" showAll="0" defaultSubtotal="0">
      <items count="16">
        <item x="9"/>
        <item x="2"/>
        <item x="14"/>
        <item x="15"/>
        <item x="4"/>
        <item x="12"/>
        <item x="10"/>
        <item x="6"/>
        <item x="11"/>
        <item x="3"/>
        <item x="1"/>
        <item x="0"/>
        <item x="8"/>
        <item x="5"/>
        <item x="13"/>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s>
  <rowFields count="1">
    <field x="7"/>
  </rowFields>
  <rowItems count="16">
    <i>
      <x/>
    </i>
    <i>
      <x v="1"/>
    </i>
    <i>
      <x v="2"/>
    </i>
    <i>
      <x v="3"/>
    </i>
    <i>
      <x v="4"/>
    </i>
    <i>
      <x v="5"/>
    </i>
    <i>
      <x v="6"/>
    </i>
    <i>
      <x v="7"/>
    </i>
    <i>
      <x v="8"/>
    </i>
    <i>
      <x v="9"/>
    </i>
    <i>
      <x v="10"/>
    </i>
    <i>
      <x v="11"/>
    </i>
    <i>
      <x v="12"/>
    </i>
    <i>
      <x v="13"/>
    </i>
    <i>
      <x v="14"/>
    </i>
    <i>
      <x v="15"/>
    </i>
  </rowItems>
  <colItems count="1">
    <i/>
  </colItems>
  <pageFields count="1">
    <pageField fld="1" hier="-1"/>
  </pageFields>
  <dataFields count="1">
    <dataField name="Sum of Amount" fld="9" baseField="0" baseItem="0" numFmtId="164"/>
  </dataFields>
  <formats count="2">
    <format dxfId="8">
      <pivotArea outline="0" fieldPosition="0">
        <references count="1">
          <reference field="7" count="1" selected="0">
            <x v="0"/>
          </reference>
        </references>
      </pivotArea>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AC7DD-4543-473A-BCBF-F2322196B6B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F3:G78" firstHeaderRow="1" firstDataRow="1" firstDataCol="1"/>
  <pivotFields count="12">
    <pivotField numFmtId="14"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showAll="0">
      <items count="12">
        <item x="0"/>
        <item x="1"/>
        <item x="2"/>
        <item x="3"/>
        <item x="4"/>
        <item x="5"/>
        <item x="6"/>
        <item x="7"/>
        <item x="8"/>
        <item x="9"/>
        <item x="10"/>
        <item t="default"/>
      </items>
    </pivotField>
    <pivotField showAll="0"/>
    <pivotField showAll="0"/>
    <pivotField showAll="0"/>
    <pivotField showAll="0"/>
    <pivotField axis="axisRow" showAll="0">
      <items count="75">
        <item x="6"/>
        <item x="20"/>
        <item x="3"/>
        <item x="66"/>
        <item x="25"/>
        <item x="28"/>
        <item x="4"/>
        <item x="60"/>
        <item x="8"/>
        <item x="22"/>
        <item x="62"/>
        <item x="72"/>
        <item x="9"/>
        <item x="34"/>
        <item x="19"/>
        <item x="40"/>
        <item x="68"/>
        <item x="30"/>
        <item x="52"/>
        <item x="13"/>
        <item x="48"/>
        <item x="29"/>
        <item x="55"/>
        <item x="64"/>
        <item x="73"/>
        <item x="59"/>
        <item x="70"/>
        <item x="61"/>
        <item x="39"/>
        <item x="45"/>
        <item x="69"/>
        <item x="15"/>
        <item x="31"/>
        <item x="18"/>
        <item x="41"/>
        <item x="44"/>
        <item x="7"/>
        <item x="0"/>
        <item x="49"/>
        <item x="42"/>
        <item x="17"/>
        <item x="26"/>
        <item x="51"/>
        <item x="10"/>
        <item x="23"/>
        <item x="57"/>
        <item x="38"/>
        <item x="33"/>
        <item x="11"/>
        <item x="16"/>
        <item x="47"/>
        <item x="46"/>
        <item x="27"/>
        <item x="54"/>
        <item x="35"/>
        <item x="24"/>
        <item x="56"/>
        <item x="32"/>
        <item x="1"/>
        <item x="12"/>
        <item x="65"/>
        <item x="5"/>
        <item x="50"/>
        <item x="58"/>
        <item x="21"/>
        <item x="36"/>
        <item x="14"/>
        <item x="53"/>
        <item x="43"/>
        <item x="2"/>
        <item x="67"/>
        <item x="63"/>
        <item x="37"/>
        <item x="71"/>
        <item t="default"/>
      </items>
    </pivotField>
    <pivotField showAll="0">
      <items count="17">
        <item x="9"/>
        <item x="2"/>
        <item x="14"/>
        <item x="15"/>
        <item x="4"/>
        <item x="12"/>
        <item x="10"/>
        <item x="6"/>
        <item x="11"/>
        <item x="3"/>
        <item x="1"/>
        <item x="0"/>
        <item x="8"/>
        <item x="5"/>
        <item x="13"/>
        <item x="7"/>
        <item t="default"/>
      </items>
    </pivotField>
    <pivotField showAll="0"/>
    <pivotField dataField="1" numFmtId="2" showAll="0"/>
    <pivotField showAll="0"/>
    <pivotField showAll="0"/>
  </pivotFields>
  <rowFields count="1">
    <field x="6"/>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Sum of Amount" fld="9"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665412-36BF-48C6-9D1E-70AE1A35638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D20" firstHeaderRow="0" firstDataRow="1" firstDataCol="1" rowPageCount="1" colPageCount="1"/>
  <pivotFields count="12">
    <pivotField numFmtId="14"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showAll="0"/>
    <pivotField showAll="0"/>
    <pivotField showAll="0"/>
    <pivotField showAll="0"/>
    <pivotField showAll="0"/>
    <pivotField showAll="0"/>
    <pivotField axis="axisRow" showAll="0">
      <items count="17">
        <item x="9"/>
        <item x="2"/>
        <item x="14"/>
        <item x="15"/>
        <item x="4"/>
        <item x="12"/>
        <item x="10"/>
        <item x="6"/>
        <item x="11"/>
        <item x="3"/>
        <item x="1"/>
        <item x="0"/>
        <item x="8"/>
        <item x="5"/>
        <item x="13"/>
        <item x="7"/>
        <item t="default"/>
      </items>
    </pivotField>
    <pivotField showAll="0"/>
    <pivotField dataField="1" numFmtId="2" showAll="0"/>
    <pivotField axis="axisPage" multipleItemSelectionAllowed="1" showAll="0">
      <items count="3">
        <item x="1"/>
        <item x="0"/>
        <item t="default"/>
      </items>
    </pivotField>
    <pivotField showAll="0"/>
  </pivotFields>
  <rowFields count="1">
    <field x="7"/>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pageFields count="1">
    <pageField fld="10" hier="-1"/>
  </pageFields>
  <dataFields count="3">
    <dataField name="Total Spent" fld="9" baseField="7" baseItem="1" numFmtId="44"/>
    <dataField name="Transaction Count" fld="9" subtotal="count" baseField="7" baseItem="1"/>
    <dataField name="Spend %" fld="9" showDataAs="percentOfTotal" baseField="7" baseItem="7" numFmtId="10"/>
  </dataFields>
  <chartFormats count="6">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 chart="3" format="10">
      <pivotArea type="data" outline="0" fieldPosition="0">
        <references count="2">
          <reference field="4294967294" count="1" selected="0">
            <x v="0"/>
          </reference>
          <reference field="7" count="1" selected="0">
            <x v="15"/>
          </reference>
        </references>
      </pivotArea>
    </chartFormat>
    <chartFormat chart="3" format="11">
      <pivotArea type="data" outline="0" fieldPosition="0">
        <references count="2">
          <reference field="4294967294" count="1" selected="0">
            <x v="1"/>
          </reference>
          <reference field="7" count="1" selected="0">
            <x v="15"/>
          </reference>
        </references>
      </pivotArea>
    </chartFormat>
    <chartFormat chart="3" format="12">
      <pivotArea type="data" outline="0" fieldPosition="0">
        <references count="2">
          <reference field="4294967294" count="1" selected="0">
            <x v="2"/>
          </reference>
          <reference field="7" count="1" selected="0">
            <x v="1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DF93D6-F2A6-4EDC-9DD3-DB1D32816197}" autoFormatId="16" applyNumberFormats="0" applyBorderFormats="0" applyFontFormats="0" applyPatternFormats="0" applyAlignmentFormats="0" applyWidthHeightFormats="0">
  <queryTableRefresh nextId="13" unboundColumnsRight="1">
    <queryTableFields count="10">
      <queryTableField id="1" name="Date" tableColumnId="1"/>
      <queryTableField id="11" dataBound="0" tableColumnId="11"/>
      <queryTableField id="2" name="Unique Id" tableColumnId="2"/>
      <queryTableField id="3" name="Tran Type" tableColumnId="3"/>
      <queryTableField id="5" name="Payee" tableColumnId="5"/>
      <queryTableField id="8" dataBound="0" tableColumnId="9"/>
      <queryTableField id="12" dataBound="0" tableColumnId="12"/>
      <queryTableField id="6" name="Memo" tableColumnId="6"/>
      <queryTableField id="7" name="Amount" tableColumnId="7"/>
      <queryTableField id="9" dataBound="0" tableColumnId="10"/>
    </queryTableFields>
    <queryTableDeletedFields count="1">
      <deletedField name="Cheque Numbe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272FA4-5B96-4031-A133-5AAE7A526979}" sourceName="Category">
  <pivotTables>
    <pivotTable tabId="5" name="PivotTable1"/>
    <pivotTable tabId="5" name="PivotTable2"/>
  </pivotTables>
  <data>
    <tabular pivotCacheId="1346952420">
      <items count="16">
        <i x="9" s="1"/>
        <i x="2" s="1"/>
        <i x="14" s="1"/>
        <i x="15" s="1"/>
        <i x="4" s="1"/>
        <i x="12" s="1"/>
        <i x="10" s="1"/>
        <i x="6" s="1"/>
        <i x="11" s="1"/>
        <i x="3" s="1"/>
        <i x="1" s="1"/>
        <i x="0" s="1"/>
        <i x="8" s="1"/>
        <i x="5" s="1"/>
        <i x="1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Category" xr10:uid="{CD9D1EAA-F2D4-4191-B590-98222E3EC5DC}" cache="Slicer_Category" caption="Category" startItem="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DD9F05-CBA2-40FC-82D9-F36AFD9443FE}" name="Export20251104132100" displayName="Export20251104132100" ref="A1:J221" tableType="queryTable" totalsRowCount="1" totalsRowDxfId="28">
  <autoFilter ref="A1:J220" xr:uid="{22DD9F05-CBA2-40FC-82D9-F36AFD9443FE}"/>
  <sortState xmlns:xlrd2="http://schemas.microsoft.com/office/spreadsheetml/2017/richdata2" ref="A2:J220">
    <sortCondition ref="A1:A220"/>
  </sortState>
  <tableColumns count="10">
    <tableColumn id="1" xr3:uid="{814B22D2-64E5-4C01-8C0C-4B881D03804E}" uniqueName="1" name="Date" queryTableFieldId="1" dataDxfId="27" totalsRowDxfId="26"/>
    <tableColumn id="11" xr3:uid="{5AE12168-5BA2-4A98-8B7F-5CE17219196C}" uniqueName="11" name="Month-year" queryTableFieldId="11" dataDxfId="25" totalsRowDxfId="24">
      <calculatedColumnFormula>TEXT(A2,"yyyy-mm")</calculatedColumnFormula>
    </tableColumn>
    <tableColumn id="2" xr3:uid="{4417EE72-2289-4E87-9B4B-4FB3CDEF96C7}" uniqueName="2" name="Unique Id" queryTableFieldId="2" totalsRowDxfId="23"/>
    <tableColumn id="3" xr3:uid="{9A528CDB-F94A-4BCA-9A04-0E498BDA7EBD}" uniqueName="3" name="Tran Type" queryTableFieldId="3" dataDxfId="22" totalsRowDxfId="21"/>
    <tableColumn id="5" xr3:uid="{A5C79C76-45A4-4D18-9FF7-11CB8BCF4D30}" uniqueName="5" name="Payee" queryTableFieldId="5" dataDxfId="20" totalsRowDxfId="19"/>
    <tableColumn id="9" xr3:uid="{D7E66312-8209-494A-8DCC-774506565A98}" uniqueName="9" name="Merchant" queryTableFieldId="8" dataDxfId="18" totalsRowDxfId="17"/>
    <tableColumn id="12" xr3:uid="{6677AFEB-90E4-4F5B-93ED-B6EA6AFCBD76}" uniqueName="12" name="Category" queryTableFieldId="12" dataDxfId="16" totalsRowDxfId="15">
      <calculatedColumnFormula>_xlfn.XLOOKUP(Export20251104132100[[#This Row],[Merchant]],Table3[Merchant],Table3[Category],"Unknown")</calculatedColumnFormula>
    </tableColumn>
    <tableColumn id="6" xr3:uid="{BCE6B9CB-84F4-46D3-B2A9-89A2EA2E2AFE}" uniqueName="6" name="Memo" queryTableFieldId="6" dataDxfId="14" totalsRowDxfId="13"/>
    <tableColumn id="7" xr3:uid="{4A459C4A-975D-4223-A05E-9E8B8BE56A34}" uniqueName="7" name="Amount" totalsRowFunction="custom" queryTableFieldId="7" dataDxfId="12" totalsRowDxfId="11">
      <totalsRowFormula>SUBTOTAL(109, Export20251104132100[Amount])</totalsRowFormula>
    </tableColumn>
    <tableColumn id="10" xr3:uid="{E02AC9DF-08FE-451A-B107-8B9498FDE169}" uniqueName="10" name="Type" queryTableFieldId="9" dataDxfId="10" totalsRowDxfId="9">
      <calculatedColumnFormula>IF(Export20251104132100[[#This Row],[Amount]]&gt;=0,"In","out")</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06D433-5A9A-41FA-934A-14AF7DF38374}" name="Table3" displayName="Table3" ref="A1:B75" totalsRowShown="0">
  <autoFilter ref="A1:B75" xr:uid="{E206D433-5A9A-41FA-934A-14AF7DF38374}"/>
  <tableColumns count="2">
    <tableColumn id="1" xr3:uid="{BE6F4119-B700-4DA8-82B2-CE8D425CA96F}" name="Merchant"/>
    <tableColumn id="2" xr3:uid="{CE113C14-7435-4423-A667-D97705F86881}" name="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EFDA4F-88E2-4830-B981-9819C0AEF958}" name="Table2" displayName="Table2" ref="A1:F12" totalsRowShown="0">
  <autoFilter ref="A1:F12" xr:uid="{97EFDA4F-88E2-4830-B981-9819C0AEF958}"/>
  <tableColumns count="6">
    <tableColumn id="1" xr3:uid="{FD2A8B45-955C-432D-ACFC-FF73DF0ABA67}" name="Month-year"/>
    <tableColumn id="2" xr3:uid="{1D5B199C-1103-48F3-A184-43A335577987}" name="income" dataDxfId="6">
      <calculatedColumnFormula>SUMIFS('Personal spending'!I:I,'Personal spending'!J:J,"In",'Personal spending'!B:B,Table2[[#This Row],[Month-year]])</calculatedColumnFormula>
    </tableColumn>
    <tableColumn id="3" xr3:uid="{F2318FD2-D9CE-4722-8380-24954C664085}" name="spending" dataDxfId="5">
      <calculatedColumnFormula>-SUMIFS('Personal spending'!I:I,'Personal spending'!J:J,"out",'Personal spending'!B:B,Table2[[#This Row],[Month-year]])</calculatedColumnFormula>
    </tableColumn>
    <tableColumn id="4" xr3:uid="{3341ED2D-1502-4F02-8A5B-9CE2A02E8F68}" name="balance" dataDxfId="4">
      <calculatedColumnFormula>Table2[[#This Row],[income]]+Table2[[#This Row],[spending]]</calculatedColumnFormula>
    </tableColumn>
    <tableColumn id="5" xr3:uid="{73E37692-5A57-45CD-A544-EC1BFBF55E5A}" name="Income Sparkilne" dataDxfId="3"/>
    <tableColumn id="6" xr3:uid="{CDA3187A-03ED-455C-9281-4AB3868E9624}" name="Spending Sparkline"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C9418A0-59A4-41A2-85C3-AF2AA2705AB4}" sourceName="Date">
  <pivotTables>
    <pivotTable tabId="5" name="PivotTable1"/>
    <pivotTable tabId="5" name="PivotTable2"/>
  </pivotTables>
  <state minimalRefreshVersion="6" lastRefreshVersion="6" pivotCacheId="134695242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06E8185-7A01-49CF-958B-C28DEED5357A}" cache="NativeTimeline_Date" caption="Date" level="2" selectionLevel="2" scrollPosition="2025-06-07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A3C53-44CC-4A66-B7A0-3A865C7844D4}">
  <dimension ref="A1:R221"/>
  <sheetViews>
    <sheetView topLeftCell="E181" workbookViewId="0">
      <selection activeCell="L11" sqref="L11"/>
    </sheetView>
  </sheetViews>
  <sheetFormatPr defaultRowHeight="14.5" x14ac:dyDescent="0.35"/>
  <cols>
    <col min="1" max="1" width="10.08984375" style="1" bestFit="1" customWidth="1"/>
    <col min="2" max="2" width="10.08984375" style="1" customWidth="1"/>
    <col min="3" max="3" width="11.1796875" bestFit="1" customWidth="1"/>
    <col min="4" max="4" width="11" bestFit="1" customWidth="1"/>
    <col min="5" max="5" width="39.6328125" bestFit="1" customWidth="1"/>
    <col min="6" max="6" width="39.6328125" customWidth="1"/>
    <col min="7" max="7" width="41.6328125" bestFit="1" customWidth="1"/>
    <col min="8" max="8" width="9.6328125" style="2" bestFit="1" customWidth="1"/>
    <col min="9" max="9" width="9.6328125" style="15" customWidth="1"/>
    <col min="11" max="14" width="10.453125" customWidth="1"/>
  </cols>
  <sheetData>
    <row r="1" spans="1:18" x14ac:dyDescent="0.35">
      <c r="A1" s="1" t="s">
        <v>0</v>
      </c>
      <c r="B1" s="1" t="s">
        <v>199</v>
      </c>
      <c r="C1" t="s">
        <v>1</v>
      </c>
      <c r="D1" t="s">
        <v>2</v>
      </c>
      <c r="E1" t="s">
        <v>3</v>
      </c>
      <c r="F1" t="s">
        <v>149</v>
      </c>
      <c r="G1" t="s">
        <v>221</v>
      </c>
      <c r="H1" t="s">
        <v>4</v>
      </c>
      <c r="I1" s="14" t="s">
        <v>5</v>
      </c>
      <c r="J1" s="2" t="s">
        <v>198</v>
      </c>
    </row>
    <row r="2" spans="1:18" x14ac:dyDescent="0.35">
      <c r="A2" s="1">
        <v>45660</v>
      </c>
      <c r="B2" s="1" t="str">
        <f t="shared" ref="B2:B65" si="0">TEXT(A2,"yyyy-mm")</f>
        <v>2025-01</v>
      </c>
      <c r="C2">
        <v>2025010301</v>
      </c>
      <c r="D2" t="s">
        <v>6</v>
      </c>
      <c r="E2" t="s">
        <v>7</v>
      </c>
      <c r="F2" t="s">
        <v>150</v>
      </c>
      <c r="G2" t="str">
        <f>_xlfn.XLOOKUP(Export20251104132100[[#This Row],[Merchant]],Table3[Merchant],Table3[Category],"Unknown")</f>
        <v>Subscription</v>
      </c>
      <c r="H2" t="s">
        <v>6</v>
      </c>
      <c r="I2" s="15">
        <v>-27.99</v>
      </c>
      <c r="J2" t="str">
        <f>IF(Export20251104132100[[#This Row],[Amount]]&gt;=0,"In","out")</f>
        <v>out</v>
      </c>
    </row>
    <row r="3" spans="1:18" x14ac:dyDescent="0.35">
      <c r="A3" s="1">
        <v>45661</v>
      </c>
      <c r="B3" s="1" t="str">
        <f t="shared" si="0"/>
        <v>2025-01</v>
      </c>
      <c r="C3">
        <v>2025010401</v>
      </c>
      <c r="D3" t="s">
        <v>6</v>
      </c>
      <c r="E3" t="s">
        <v>8</v>
      </c>
      <c r="F3" t="s">
        <v>151</v>
      </c>
      <c r="G3" t="str">
        <f>_xlfn.XLOOKUP(Export20251104132100[[#This Row],[Merchant]],Table3[Merchant],Table3[Category],"Unknown")</f>
        <v>Subscription</v>
      </c>
      <c r="H3" t="s">
        <v>6</v>
      </c>
      <c r="I3" s="15">
        <v>-8.99</v>
      </c>
      <c r="J3" t="str">
        <f>IF(Export20251104132100[[#This Row],[Amount]]&gt;=0,"In","out")</f>
        <v>out</v>
      </c>
      <c r="Q3">
        <f>AVERAGEIF(J:J,"Out",I:I)</f>
        <v>-33.518360655737681</v>
      </c>
    </row>
    <row r="4" spans="1:18" x14ac:dyDescent="0.35">
      <c r="A4" s="1">
        <v>45662</v>
      </c>
      <c r="B4" s="1" t="str">
        <f t="shared" si="0"/>
        <v>2025-01</v>
      </c>
      <c r="C4">
        <v>2025010501</v>
      </c>
      <c r="D4" t="s">
        <v>6</v>
      </c>
      <c r="E4" t="s">
        <v>9</v>
      </c>
      <c r="F4" t="s">
        <v>214</v>
      </c>
      <c r="G4" t="str">
        <f>_xlfn.XLOOKUP(Export20251104132100[[#This Row],[Merchant]],Table3[Merchant],Table3[Category],"Unknown")</f>
        <v>Shopping</v>
      </c>
      <c r="H4" t="s">
        <v>6</v>
      </c>
      <c r="I4" s="15">
        <v>-35.520000000000003</v>
      </c>
      <c r="J4" t="str">
        <f>IF(Export20251104132100[[#This Row],[Amount]]&gt;=0,"In","out")</f>
        <v>out</v>
      </c>
    </row>
    <row r="5" spans="1:18" x14ac:dyDescent="0.35">
      <c r="A5" s="1">
        <v>45662</v>
      </c>
      <c r="B5" s="1" t="str">
        <f t="shared" si="0"/>
        <v>2025-01</v>
      </c>
      <c r="C5">
        <v>2025010502</v>
      </c>
      <c r="D5" t="s">
        <v>6</v>
      </c>
      <c r="E5" t="s">
        <v>10</v>
      </c>
      <c r="F5" t="s">
        <v>165</v>
      </c>
      <c r="G5" t="str">
        <f>_xlfn.XLOOKUP(Export20251104132100[[#This Row],[Merchant]],Table3[Merchant],Table3[Category],"Unknown")</f>
        <v>Shopping</v>
      </c>
      <c r="H5" t="s">
        <v>6</v>
      </c>
      <c r="I5" s="15">
        <v>-39.99</v>
      </c>
      <c r="J5" t="str">
        <f>IF(Export20251104132100[[#This Row],[Amount]]&gt;=0,"In","out")</f>
        <v>out</v>
      </c>
      <c r="R5">
        <f>SUMIF(I:I,J9,H:H)</f>
        <v>0</v>
      </c>
    </row>
    <row r="6" spans="1:18" x14ac:dyDescent="0.35">
      <c r="A6" s="1">
        <v>45663</v>
      </c>
      <c r="B6" s="1" t="str">
        <f t="shared" si="0"/>
        <v>2025-01</v>
      </c>
      <c r="C6">
        <v>2025010603</v>
      </c>
      <c r="D6" t="s">
        <v>6</v>
      </c>
      <c r="E6" t="s">
        <v>13</v>
      </c>
      <c r="F6" t="s">
        <v>152</v>
      </c>
      <c r="G6" t="str">
        <f>_xlfn.XLOOKUP(Export20251104132100[[#This Row],[Merchant]],Table3[Merchant],Table3[Category],"Unknown")</f>
        <v>Entertainment</v>
      </c>
      <c r="H6" t="s">
        <v>6</v>
      </c>
      <c r="I6" s="15">
        <v>-22.99</v>
      </c>
      <c r="J6" t="str">
        <f>IF(Export20251104132100[[#This Row],[Amount]]&gt;=0,"In","out")</f>
        <v>out</v>
      </c>
      <c r="Q6">
        <f>AVERAGEIF($J:$J, "In", $I:$I)</f>
        <v>197.96944444444446</v>
      </c>
    </row>
    <row r="7" spans="1:18" x14ac:dyDescent="0.35">
      <c r="A7" s="1">
        <v>45663</v>
      </c>
      <c r="B7" s="1" t="str">
        <f t="shared" si="0"/>
        <v>2025-01</v>
      </c>
      <c r="C7">
        <v>2025010605</v>
      </c>
      <c r="D7" t="s">
        <v>14</v>
      </c>
      <c r="E7" t="s">
        <v>16</v>
      </c>
      <c r="F7" t="s">
        <v>217</v>
      </c>
      <c r="G7" t="str">
        <f>_xlfn.XLOOKUP(Export20251104132100[[#This Row],[Merchant]],Table3[Merchant],Table3[Category],"Unknown")</f>
        <v>Income</v>
      </c>
      <c r="H7" t="s">
        <v>216</v>
      </c>
      <c r="I7" s="15">
        <v>238.67</v>
      </c>
      <c r="J7" t="str">
        <f>IF(Export20251104132100[[#This Row],[Amount]]&gt;=0,"In","out")</f>
        <v>In</v>
      </c>
    </row>
    <row r="8" spans="1:18" x14ac:dyDescent="0.35">
      <c r="A8" s="1">
        <v>45663</v>
      </c>
      <c r="B8" s="1" t="str">
        <f t="shared" si="0"/>
        <v>2025-01</v>
      </c>
      <c r="C8">
        <v>2025010604</v>
      </c>
      <c r="D8" t="s">
        <v>14</v>
      </c>
      <c r="E8" t="s">
        <v>15</v>
      </c>
      <c r="F8" t="s">
        <v>217</v>
      </c>
      <c r="G8" t="str">
        <f>_xlfn.XLOOKUP(Export20251104132100[[#This Row],[Merchant]],Table3[Merchant],Table3[Category],"Unknown")</f>
        <v>Income</v>
      </c>
      <c r="H8" t="s">
        <v>215</v>
      </c>
      <c r="I8" s="15">
        <v>77.72</v>
      </c>
      <c r="J8" t="str">
        <f>IF(Export20251104132100[[#This Row],[Amount]]&gt;=0,"In","out")</f>
        <v>In</v>
      </c>
    </row>
    <row r="9" spans="1:18" x14ac:dyDescent="0.35">
      <c r="A9" s="1">
        <v>45663</v>
      </c>
      <c r="B9" s="1" t="str">
        <f t="shared" si="0"/>
        <v>2025-01</v>
      </c>
      <c r="C9">
        <v>2025010601</v>
      </c>
      <c r="D9" t="s">
        <v>6</v>
      </c>
      <c r="E9" t="s">
        <v>11</v>
      </c>
      <c r="F9" t="s">
        <v>186</v>
      </c>
      <c r="G9" t="str">
        <f>_xlfn.XLOOKUP(Export20251104132100[[#This Row],[Merchant]],Table3[Merchant],Table3[Category],"Unknown")</f>
        <v>Food &amp; dining</v>
      </c>
      <c r="H9" t="s">
        <v>6</v>
      </c>
      <c r="I9" s="15">
        <v>-18.989999999999998</v>
      </c>
      <c r="J9" t="str">
        <f>IF(Export20251104132100[[#This Row],[Amount]]&gt;=0,"In","out")</f>
        <v>out</v>
      </c>
    </row>
    <row r="10" spans="1:18" x14ac:dyDescent="0.35">
      <c r="A10" s="1">
        <v>45663</v>
      </c>
      <c r="B10" s="1" t="str">
        <f t="shared" si="0"/>
        <v>2025-01</v>
      </c>
      <c r="C10">
        <v>2025010602</v>
      </c>
      <c r="D10" t="s">
        <v>6</v>
      </c>
      <c r="E10" t="s">
        <v>12</v>
      </c>
      <c r="F10" t="s">
        <v>197</v>
      </c>
      <c r="G10" t="str">
        <f>_xlfn.XLOOKUP(Export20251104132100[[#This Row],[Merchant]],Table3[Merchant],Table3[Category],"Unknown")</f>
        <v>Food &amp; dining</v>
      </c>
      <c r="H10" t="s">
        <v>6</v>
      </c>
      <c r="I10" s="15">
        <v>-16</v>
      </c>
      <c r="J10" t="str">
        <f>IF(Export20251104132100[[#This Row],[Amount]]&gt;=0,"In","out")</f>
        <v>out</v>
      </c>
    </row>
    <row r="11" spans="1:18" x14ac:dyDescent="0.35">
      <c r="A11" s="1">
        <v>45664</v>
      </c>
      <c r="B11" s="1" t="str">
        <f t="shared" si="0"/>
        <v>2025-01</v>
      </c>
      <c r="C11">
        <v>2025010702</v>
      </c>
      <c r="D11" t="s">
        <v>6</v>
      </c>
      <c r="E11" t="s">
        <v>18</v>
      </c>
      <c r="F11" t="s">
        <v>188</v>
      </c>
      <c r="G11" t="str">
        <f>_xlfn.XLOOKUP(Export20251104132100[[#This Row],[Merchant]],Table3[Merchant],Table3[Category],"Unknown")</f>
        <v>Transport</v>
      </c>
      <c r="H11" t="s">
        <v>6</v>
      </c>
      <c r="I11" s="15">
        <v>-20</v>
      </c>
      <c r="J11" t="str">
        <f>IF(Export20251104132100[[#This Row],[Amount]]&gt;=0,"In","out")</f>
        <v>out</v>
      </c>
    </row>
    <row r="12" spans="1:18" x14ac:dyDescent="0.35">
      <c r="A12" s="1">
        <v>45664</v>
      </c>
      <c r="B12" s="1" t="str">
        <f t="shared" si="0"/>
        <v>2025-01</v>
      </c>
      <c r="C12">
        <v>2025010701</v>
      </c>
      <c r="D12" t="s">
        <v>6</v>
      </c>
      <c r="E12" t="s">
        <v>17</v>
      </c>
      <c r="F12" t="s">
        <v>222</v>
      </c>
      <c r="G12" t="str">
        <f>_xlfn.XLOOKUP(Export20251104132100[[#This Row],[Merchant]],Table3[Merchant],Table3[Category],"Unknown")</f>
        <v>Grooming</v>
      </c>
      <c r="H12" t="s">
        <v>6</v>
      </c>
      <c r="I12" s="15">
        <v>-35.880000000000003</v>
      </c>
      <c r="J12" t="str">
        <f>IF(Export20251104132100[[#This Row],[Amount]]&gt;=0,"In","out")</f>
        <v>out</v>
      </c>
    </row>
    <row r="13" spans="1:18" x14ac:dyDescent="0.35">
      <c r="A13" s="1">
        <v>45664</v>
      </c>
      <c r="B13" s="1" t="str">
        <f t="shared" si="0"/>
        <v>2025-01</v>
      </c>
      <c r="C13">
        <v>2025010705</v>
      </c>
      <c r="D13" t="s">
        <v>6</v>
      </c>
      <c r="E13" t="s">
        <v>22</v>
      </c>
      <c r="F13" t="s">
        <v>167</v>
      </c>
      <c r="G13" t="str">
        <f>_xlfn.XLOOKUP(Export20251104132100[[#This Row],[Merchant]],Table3[Merchant],Table3[Category],"Unknown")</f>
        <v>Utilities</v>
      </c>
      <c r="H13" t="s">
        <v>6</v>
      </c>
      <c r="I13" s="15">
        <v>-0.38</v>
      </c>
      <c r="J13" t="str">
        <f>IF(Export20251104132100[[#This Row],[Amount]]&gt;=0,"In","out")</f>
        <v>out</v>
      </c>
    </row>
    <row r="14" spans="1:18" x14ac:dyDescent="0.35">
      <c r="A14" s="1">
        <v>45664</v>
      </c>
      <c r="B14" s="1" t="str">
        <f t="shared" si="0"/>
        <v>2025-01</v>
      </c>
      <c r="C14">
        <v>2025010703</v>
      </c>
      <c r="D14" t="s">
        <v>19</v>
      </c>
      <c r="E14" t="s">
        <v>20</v>
      </c>
      <c r="F14" t="s">
        <v>166</v>
      </c>
      <c r="G14" t="str">
        <f>_xlfn.XLOOKUP(Export20251104132100[[#This Row],[Merchant]],Table3[Merchant],Table3[Category],"Unknown")</f>
        <v>Transfers</v>
      </c>
      <c r="H14" t="s">
        <v>21</v>
      </c>
      <c r="I14" s="15">
        <v>-15</v>
      </c>
      <c r="J14" t="str">
        <f>IF(Export20251104132100[[#This Row],[Amount]]&gt;=0,"In","out")</f>
        <v>out</v>
      </c>
    </row>
    <row r="15" spans="1:18" x14ac:dyDescent="0.35">
      <c r="A15" s="1">
        <v>45664</v>
      </c>
      <c r="B15" s="1" t="str">
        <f t="shared" si="0"/>
        <v>2025-01</v>
      </c>
      <c r="C15">
        <v>2025010704</v>
      </c>
      <c r="D15" t="s">
        <v>6</v>
      </c>
      <c r="E15" t="s">
        <v>223</v>
      </c>
      <c r="F15" t="s">
        <v>223</v>
      </c>
      <c r="G15" t="str">
        <f>_xlfn.XLOOKUP(Export20251104132100[[#This Row],[Merchant]],Table3[Merchant],Table3[Category],"Unknown")</f>
        <v>Entertainment</v>
      </c>
      <c r="H15" t="s">
        <v>6</v>
      </c>
      <c r="I15" s="15">
        <v>-17.89</v>
      </c>
      <c r="J15" t="str">
        <f>IF(Export20251104132100[[#This Row],[Amount]]&gt;=0,"In","out")</f>
        <v>out</v>
      </c>
    </row>
    <row r="16" spans="1:18" x14ac:dyDescent="0.35">
      <c r="A16" s="1">
        <v>45665</v>
      </c>
      <c r="B16" s="1" t="str">
        <f t="shared" si="0"/>
        <v>2025-01</v>
      </c>
      <c r="C16">
        <v>2025010802</v>
      </c>
      <c r="D16" t="s">
        <v>6</v>
      </c>
      <c r="E16" t="s">
        <v>24</v>
      </c>
      <c r="F16" t="s">
        <v>219</v>
      </c>
      <c r="G16" t="str">
        <f>_xlfn.XLOOKUP(Export20251104132100[[#This Row],[Merchant]],Table3[Merchant],Table3[Category],"Unknown")</f>
        <v>Entertainment</v>
      </c>
      <c r="H16" t="s">
        <v>6</v>
      </c>
      <c r="I16" s="15">
        <v>-20.399999999999999</v>
      </c>
      <c r="J16" t="str">
        <f>IF(Export20251104132100[[#This Row],[Amount]]&gt;=0,"In","out")</f>
        <v>out</v>
      </c>
    </row>
    <row r="17" spans="1:10" x14ac:dyDescent="0.35">
      <c r="A17" s="1">
        <v>45665</v>
      </c>
      <c r="B17" s="1" t="str">
        <f t="shared" si="0"/>
        <v>2025-01</v>
      </c>
      <c r="C17">
        <v>2025010801</v>
      </c>
      <c r="D17" t="s">
        <v>6</v>
      </c>
      <c r="E17" t="s">
        <v>23</v>
      </c>
      <c r="F17" t="s">
        <v>224</v>
      </c>
      <c r="G17" t="str">
        <f>_xlfn.XLOOKUP(Export20251104132100[[#This Row],[Merchant]],Table3[Merchant],Table3[Category],"Unknown")</f>
        <v>Food &amp; dining</v>
      </c>
      <c r="H17" t="s">
        <v>6</v>
      </c>
      <c r="I17" s="15">
        <v>-14</v>
      </c>
      <c r="J17" t="str">
        <f>IF(Export20251104132100[[#This Row],[Amount]]&gt;=0,"In","out")</f>
        <v>out</v>
      </c>
    </row>
    <row r="18" spans="1:10" x14ac:dyDescent="0.35">
      <c r="A18" s="1">
        <v>45666</v>
      </c>
      <c r="B18" s="1" t="str">
        <f t="shared" si="0"/>
        <v>2025-01</v>
      </c>
      <c r="C18">
        <v>2025010904</v>
      </c>
      <c r="D18" t="s">
        <v>6</v>
      </c>
      <c r="E18" t="s">
        <v>28</v>
      </c>
      <c r="F18" t="s">
        <v>188</v>
      </c>
      <c r="G18" t="str">
        <f>_xlfn.XLOOKUP(Export20251104132100[[#This Row],[Merchant]],Table3[Merchant],Table3[Category],"Unknown")</f>
        <v>Transport</v>
      </c>
      <c r="H18" t="s">
        <v>6</v>
      </c>
      <c r="I18" s="15">
        <v>-5</v>
      </c>
      <c r="J18" t="str">
        <f>IF(Export20251104132100[[#This Row],[Amount]]&gt;=0,"In","out")</f>
        <v>out</v>
      </c>
    </row>
    <row r="19" spans="1:10" x14ac:dyDescent="0.35">
      <c r="A19" s="1">
        <v>45666</v>
      </c>
      <c r="B19" s="1" t="str">
        <f t="shared" si="0"/>
        <v>2025-01</v>
      </c>
      <c r="C19">
        <v>2025010905</v>
      </c>
      <c r="D19" t="s">
        <v>6</v>
      </c>
      <c r="E19" t="s">
        <v>18</v>
      </c>
      <c r="F19" t="s">
        <v>188</v>
      </c>
      <c r="G19" t="str">
        <f>_xlfn.XLOOKUP(Export20251104132100[[#This Row],[Merchant]],Table3[Merchant],Table3[Category],"Unknown")</f>
        <v>Transport</v>
      </c>
      <c r="H19" t="s">
        <v>6</v>
      </c>
      <c r="I19" s="15">
        <v>-50</v>
      </c>
      <c r="J19" t="str">
        <f>IF(Export20251104132100[[#This Row],[Amount]]&gt;=0,"In","out")</f>
        <v>out</v>
      </c>
    </row>
    <row r="20" spans="1:10" x14ac:dyDescent="0.35">
      <c r="A20" s="1">
        <v>45666</v>
      </c>
      <c r="B20" s="1" t="str">
        <f t="shared" si="0"/>
        <v>2025-01</v>
      </c>
      <c r="C20">
        <v>2025010902</v>
      </c>
      <c r="D20" t="s">
        <v>6</v>
      </c>
      <c r="E20" t="s">
        <v>26</v>
      </c>
      <c r="F20" t="s">
        <v>218</v>
      </c>
      <c r="G20" t="str">
        <f>_xlfn.XLOOKUP(Export20251104132100[[#This Row],[Merchant]],Table3[Merchant],Table3[Category],"Unknown")</f>
        <v>Food &amp; dining</v>
      </c>
      <c r="H20" t="s">
        <v>6</v>
      </c>
      <c r="I20" s="15">
        <v>-3.8</v>
      </c>
      <c r="J20" t="str">
        <f>IF(Export20251104132100[[#This Row],[Amount]]&gt;=0,"In","out")</f>
        <v>out</v>
      </c>
    </row>
    <row r="21" spans="1:10" x14ac:dyDescent="0.35">
      <c r="A21" s="1">
        <v>45666</v>
      </c>
      <c r="B21" s="1" t="str">
        <f t="shared" si="0"/>
        <v>2025-01</v>
      </c>
      <c r="C21">
        <v>2025010903</v>
      </c>
      <c r="D21" t="s">
        <v>6</v>
      </c>
      <c r="E21" t="s">
        <v>27</v>
      </c>
      <c r="F21" t="s">
        <v>225</v>
      </c>
      <c r="G21" t="str">
        <f>_xlfn.XLOOKUP(Export20251104132100[[#This Row],[Merchant]],Table3[Merchant],Table3[Category],"Unknown")</f>
        <v>Food &amp; dining</v>
      </c>
      <c r="H21" t="s">
        <v>6</v>
      </c>
      <c r="I21" s="15">
        <v>-5.5</v>
      </c>
      <c r="J21" t="str">
        <f>IF(Export20251104132100[[#This Row],[Amount]]&gt;=0,"In","out")</f>
        <v>out</v>
      </c>
    </row>
    <row r="22" spans="1:10" x14ac:dyDescent="0.35">
      <c r="A22" s="1">
        <v>45666</v>
      </c>
      <c r="B22" s="1" t="str">
        <f t="shared" si="0"/>
        <v>2025-01</v>
      </c>
      <c r="C22">
        <v>2025010901</v>
      </c>
      <c r="D22" t="s">
        <v>6</v>
      </c>
      <c r="E22" t="s">
        <v>25</v>
      </c>
      <c r="F22" t="s">
        <v>218</v>
      </c>
      <c r="G22" t="str">
        <f>_xlfn.XLOOKUP(Export20251104132100[[#This Row],[Merchant]],Table3[Merchant],Table3[Category],"Unknown")</f>
        <v>Food &amp; dining</v>
      </c>
      <c r="H22" t="s">
        <v>6</v>
      </c>
      <c r="I22" s="15">
        <v>-10.8</v>
      </c>
      <c r="J22" t="str">
        <f>IF(Export20251104132100[[#This Row],[Amount]]&gt;=0,"In","out")</f>
        <v>out</v>
      </c>
    </row>
    <row r="23" spans="1:10" x14ac:dyDescent="0.35">
      <c r="A23" s="1">
        <v>45667</v>
      </c>
      <c r="B23" s="1" t="str">
        <f t="shared" si="0"/>
        <v>2025-01</v>
      </c>
      <c r="C23">
        <v>2025011001</v>
      </c>
      <c r="D23" t="s">
        <v>6</v>
      </c>
      <c r="E23" t="s">
        <v>26</v>
      </c>
      <c r="F23" t="s">
        <v>168</v>
      </c>
      <c r="G23" t="str">
        <f>_xlfn.XLOOKUP(Export20251104132100[[#This Row],[Merchant]],Table3[Merchant],Table3[Category],"Unknown")</f>
        <v>Food &amp; dining</v>
      </c>
      <c r="H23" t="s">
        <v>6</v>
      </c>
      <c r="I23" s="15">
        <v>-11.3</v>
      </c>
      <c r="J23" t="str">
        <f>IF(Export20251104132100[[#This Row],[Amount]]&gt;=0,"In","out")</f>
        <v>out</v>
      </c>
    </row>
    <row r="24" spans="1:10" x14ac:dyDescent="0.35">
      <c r="A24" s="1">
        <v>45667</v>
      </c>
      <c r="B24" s="1" t="str">
        <f t="shared" si="0"/>
        <v>2025-01</v>
      </c>
      <c r="C24">
        <v>2025011002</v>
      </c>
      <c r="D24" t="s">
        <v>6</v>
      </c>
      <c r="E24" t="s">
        <v>26</v>
      </c>
      <c r="F24" t="s">
        <v>168</v>
      </c>
      <c r="G24" t="str">
        <f>_xlfn.XLOOKUP(Export20251104132100[[#This Row],[Merchant]],Table3[Merchant],Table3[Category],"Unknown")</f>
        <v>Food &amp; dining</v>
      </c>
      <c r="H24" t="s">
        <v>6</v>
      </c>
      <c r="I24" s="15">
        <v>-3.8</v>
      </c>
      <c r="J24" t="str">
        <f>IF(Export20251104132100[[#This Row],[Amount]]&gt;=0,"In","out")</f>
        <v>out</v>
      </c>
    </row>
    <row r="25" spans="1:10" x14ac:dyDescent="0.35">
      <c r="A25" s="1">
        <v>45668</v>
      </c>
      <c r="B25" s="1" t="str">
        <f t="shared" si="0"/>
        <v>2025-01</v>
      </c>
      <c r="C25">
        <v>2025011102</v>
      </c>
      <c r="D25" t="s">
        <v>6</v>
      </c>
      <c r="E25" t="s">
        <v>26</v>
      </c>
      <c r="F25" t="s">
        <v>168</v>
      </c>
      <c r="G25" t="str">
        <f>_xlfn.XLOOKUP(Export20251104132100[[#This Row],[Merchant]],Table3[Merchant],Table3[Category],"Unknown")</f>
        <v>Food &amp; dining</v>
      </c>
      <c r="H25" t="s">
        <v>6</v>
      </c>
      <c r="I25" s="15">
        <v>-11.3</v>
      </c>
      <c r="J25" t="str">
        <f>IF(Export20251104132100[[#This Row],[Amount]]&gt;=0,"In","out")</f>
        <v>out</v>
      </c>
    </row>
    <row r="26" spans="1:10" x14ac:dyDescent="0.35">
      <c r="A26" s="1">
        <v>45668</v>
      </c>
      <c r="B26" s="1" t="str">
        <f t="shared" si="0"/>
        <v>2025-01</v>
      </c>
      <c r="C26">
        <v>2025011103</v>
      </c>
      <c r="D26" t="s">
        <v>6</v>
      </c>
      <c r="E26" t="s">
        <v>26</v>
      </c>
      <c r="F26" t="s">
        <v>168</v>
      </c>
      <c r="G26" t="str">
        <f>_xlfn.XLOOKUP(Export20251104132100[[#This Row],[Merchant]],Table3[Merchant],Table3[Category],"Unknown")</f>
        <v>Food &amp; dining</v>
      </c>
      <c r="H26" t="s">
        <v>6</v>
      </c>
      <c r="I26" s="15">
        <v>-3.8</v>
      </c>
      <c r="J26" t="str">
        <f>IF(Export20251104132100[[#This Row],[Amount]]&gt;=0,"In","out")</f>
        <v>out</v>
      </c>
    </row>
    <row r="27" spans="1:10" x14ac:dyDescent="0.35">
      <c r="A27" s="1">
        <v>45668</v>
      </c>
      <c r="B27" s="1" t="str">
        <f t="shared" si="0"/>
        <v>2025-01</v>
      </c>
      <c r="C27">
        <v>2025011101</v>
      </c>
      <c r="D27" t="s">
        <v>6</v>
      </c>
      <c r="E27" t="s">
        <v>27</v>
      </c>
      <c r="F27" t="s">
        <v>225</v>
      </c>
      <c r="G27" t="str">
        <f>_xlfn.XLOOKUP(Export20251104132100[[#This Row],[Merchant]],Table3[Merchant],Table3[Category],"Unknown")</f>
        <v>Food &amp; dining</v>
      </c>
      <c r="H27" t="s">
        <v>6</v>
      </c>
      <c r="I27" s="15">
        <v>-5.5</v>
      </c>
      <c r="J27" t="str">
        <f>IF(Export20251104132100[[#This Row],[Amount]]&gt;=0,"In","out")</f>
        <v>out</v>
      </c>
    </row>
    <row r="28" spans="1:10" x14ac:dyDescent="0.35">
      <c r="A28" s="1">
        <v>45669</v>
      </c>
      <c r="B28" s="1" t="str">
        <f t="shared" si="0"/>
        <v>2025-01</v>
      </c>
      <c r="C28">
        <v>2025011201</v>
      </c>
      <c r="D28" t="s">
        <v>6</v>
      </c>
      <c r="E28" t="s">
        <v>29</v>
      </c>
      <c r="F28" t="s">
        <v>153</v>
      </c>
      <c r="G28" t="str">
        <f>_xlfn.XLOOKUP(Export20251104132100[[#This Row],[Merchant]],Table3[Merchant],Table3[Category],"Unknown")</f>
        <v>Education</v>
      </c>
      <c r="H28" t="s">
        <v>6</v>
      </c>
      <c r="I28" s="15">
        <v>-54.14</v>
      </c>
      <c r="J28" t="str">
        <f>IF(Export20251104132100[[#This Row],[Amount]]&gt;=0,"In","out")</f>
        <v>out</v>
      </c>
    </row>
    <row r="29" spans="1:10" x14ac:dyDescent="0.35">
      <c r="A29" s="1">
        <v>45669</v>
      </c>
      <c r="B29" s="1" t="str">
        <f t="shared" si="0"/>
        <v>2025-01</v>
      </c>
      <c r="C29">
        <v>2025011202</v>
      </c>
      <c r="D29" t="s">
        <v>6</v>
      </c>
      <c r="E29" t="s">
        <v>22</v>
      </c>
      <c r="F29" t="s">
        <v>167</v>
      </c>
      <c r="G29" t="str">
        <f>_xlfn.XLOOKUP(Export20251104132100[[#This Row],[Merchant]],Table3[Merchant],Table3[Category],"Unknown")</f>
        <v>Utilities</v>
      </c>
      <c r="H29" t="s">
        <v>6</v>
      </c>
      <c r="I29" s="15">
        <v>-1.1399999999999999</v>
      </c>
      <c r="J29" t="str">
        <f>IF(Export20251104132100[[#This Row],[Amount]]&gt;=0,"In","out")</f>
        <v>out</v>
      </c>
    </row>
    <row r="30" spans="1:10" x14ac:dyDescent="0.35">
      <c r="A30" s="1">
        <v>45670</v>
      </c>
      <c r="B30" s="1" t="str">
        <f t="shared" si="0"/>
        <v>2025-01</v>
      </c>
      <c r="C30">
        <v>2025011301</v>
      </c>
      <c r="D30" t="s">
        <v>14</v>
      </c>
      <c r="E30" t="s">
        <v>16</v>
      </c>
      <c r="F30" t="s">
        <v>217</v>
      </c>
      <c r="G30" t="str">
        <f>_xlfn.XLOOKUP(Export20251104132100[[#This Row],[Merchant]],Table3[Merchant],Table3[Category],"Unknown")</f>
        <v>Income</v>
      </c>
      <c r="H30" t="s">
        <v>30</v>
      </c>
      <c r="I30" s="15">
        <v>238.67</v>
      </c>
      <c r="J30" t="str">
        <f>IF(Export20251104132100[[#This Row],[Amount]]&gt;=0,"In","out")</f>
        <v>In</v>
      </c>
    </row>
    <row r="31" spans="1:10" x14ac:dyDescent="0.35">
      <c r="A31" s="1">
        <v>45670</v>
      </c>
      <c r="B31" s="1" t="str">
        <f t="shared" si="0"/>
        <v>2025-01</v>
      </c>
      <c r="C31">
        <v>2025011302</v>
      </c>
      <c r="D31" t="s">
        <v>14</v>
      </c>
      <c r="E31" t="s">
        <v>15</v>
      </c>
      <c r="F31" t="s">
        <v>217</v>
      </c>
      <c r="G31" t="str">
        <f>_xlfn.XLOOKUP(Export20251104132100[[#This Row],[Merchant]],Table3[Merchant],Table3[Category],"Unknown")</f>
        <v>Income</v>
      </c>
      <c r="H31" t="s">
        <v>31</v>
      </c>
      <c r="I31" s="15">
        <v>77.72</v>
      </c>
      <c r="J31" t="str">
        <f>IF(Export20251104132100[[#This Row],[Amount]]&gt;=0,"In","out")</f>
        <v>In</v>
      </c>
    </row>
    <row r="32" spans="1:10" x14ac:dyDescent="0.35">
      <c r="A32" s="1">
        <v>45671</v>
      </c>
      <c r="B32" s="1" t="str">
        <f t="shared" si="0"/>
        <v>2025-01</v>
      </c>
      <c r="C32">
        <v>2025011401</v>
      </c>
      <c r="D32" t="s">
        <v>6</v>
      </c>
      <c r="E32" t="s">
        <v>32</v>
      </c>
      <c r="F32" t="s">
        <v>169</v>
      </c>
      <c r="G32" t="str">
        <f>_xlfn.XLOOKUP(Export20251104132100[[#This Row],[Merchant]],Table3[Merchant],Table3[Category],"Unknown")</f>
        <v>Shopping</v>
      </c>
      <c r="H32" t="s">
        <v>6</v>
      </c>
      <c r="I32" s="15">
        <v>-49.99</v>
      </c>
      <c r="J32" t="str">
        <f>IF(Export20251104132100[[#This Row],[Amount]]&gt;=0,"In","out")</f>
        <v>out</v>
      </c>
    </row>
    <row r="33" spans="1:10" x14ac:dyDescent="0.35">
      <c r="A33" s="1">
        <v>45671</v>
      </c>
      <c r="B33" s="1" t="str">
        <f t="shared" si="0"/>
        <v>2025-01</v>
      </c>
      <c r="C33">
        <v>2025011402</v>
      </c>
      <c r="D33" t="s">
        <v>6</v>
      </c>
      <c r="E33" t="s">
        <v>23</v>
      </c>
      <c r="F33" t="s">
        <v>231</v>
      </c>
      <c r="G33" t="str">
        <f>_xlfn.XLOOKUP(Export20251104132100[[#This Row],[Merchant]],Table3[Merchant],Table3[Category],"Unknown")</f>
        <v>Food &amp; dining</v>
      </c>
      <c r="H33" t="s">
        <v>6</v>
      </c>
      <c r="I33" s="15">
        <v>-12.85</v>
      </c>
      <c r="J33" t="str">
        <f>IF(Export20251104132100[[#This Row],[Amount]]&gt;=0,"In","out")</f>
        <v>out</v>
      </c>
    </row>
    <row r="34" spans="1:10" x14ac:dyDescent="0.35">
      <c r="A34" s="1">
        <v>45672</v>
      </c>
      <c r="B34" s="1" t="str">
        <f t="shared" si="0"/>
        <v>2025-01</v>
      </c>
      <c r="C34">
        <v>2025011503</v>
      </c>
      <c r="D34" t="s">
        <v>6</v>
      </c>
      <c r="E34" t="s">
        <v>26</v>
      </c>
      <c r="F34" t="s">
        <v>168</v>
      </c>
      <c r="G34" t="str">
        <f>_xlfn.XLOOKUP(Export20251104132100[[#This Row],[Merchant]],Table3[Merchant],Table3[Category],"Unknown")</f>
        <v>Food &amp; dining</v>
      </c>
      <c r="H34" t="s">
        <v>6</v>
      </c>
      <c r="I34" s="15">
        <v>-5.5</v>
      </c>
      <c r="J34" t="str">
        <f>IF(Export20251104132100[[#This Row],[Amount]]&gt;=0,"In","out")</f>
        <v>out</v>
      </c>
    </row>
    <row r="35" spans="1:10" x14ac:dyDescent="0.35">
      <c r="A35" s="1">
        <v>45672</v>
      </c>
      <c r="B35" s="1" t="str">
        <f t="shared" si="0"/>
        <v>2025-01</v>
      </c>
      <c r="C35">
        <v>2025011501</v>
      </c>
      <c r="D35" t="s">
        <v>6</v>
      </c>
      <c r="E35" t="s">
        <v>27</v>
      </c>
      <c r="F35" t="s">
        <v>225</v>
      </c>
      <c r="G35" t="str">
        <f>_xlfn.XLOOKUP(Export20251104132100[[#This Row],[Merchant]],Table3[Merchant],Table3[Category],"Unknown")</f>
        <v>Food &amp; dining</v>
      </c>
      <c r="H35" t="s">
        <v>6</v>
      </c>
      <c r="I35" s="15">
        <v>-3</v>
      </c>
      <c r="J35" t="str">
        <f>IF(Export20251104132100[[#This Row],[Amount]]&gt;=0,"In","out")</f>
        <v>out</v>
      </c>
    </row>
    <row r="36" spans="1:10" x14ac:dyDescent="0.35">
      <c r="A36" s="1">
        <v>45672</v>
      </c>
      <c r="B36" s="1" t="str">
        <f t="shared" si="0"/>
        <v>2025-01</v>
      </c>
      <c r="C36">
        <v>2025011502</v>
      </c>
      <c r="D36" t="s">
        <v>6</v>
      </c>
      <c r="E36" t="s">
        <v>27</v>
      </c>
      <c r="F36" t="s">
        <v>225</v>
      </c>
      <c r="G36" t="str">
        <f>_xlfn.XLOOKUP(Export20251104132100[[#This Row],[Merchant]],Table3[Merchant],Table3[Category],"Unknown")</f>
        <v>Food &amp; dining</v>
      </c>
      <c r="H36" t="s">
        <v>6</v>
      </c>
      <c r="I36" s="15">
        <v>-5.5</v>
      </c>
      <c r="J36" t="str">
        <f>IF(Export20251104132100[[#This Row],[Amount]]&gt;=0,"In","out")</f>
        <v>out</v>
      </c>
    </row>
    <row r="37" spans="1:10" x14ac:dyDescent="0.35">
      <c r="A37" s="1">
        <v>45673</v>
      </c>
      <c r="B37" s="1" t="str">
        <f t="shared" si="0"/>
        <v>2025-01</v>
      </c>
      <c r="C37">
        <v>2025011604</v>
      </c>
      <c r="D37" t="s">
        <v>6</v>
      </c>
      <c r="E37" t="s">
        <v>26</v>
      </c>
      <c r="F37" t="s">
        <v>168</v>
      </c>
      <c r="G37" t="str">
        <f>_xlfn.XLOOKUP(Export20251104132100[[#This Row],[Merchant]],Table3[Merchant],Table3[Category],"Unknown")</f>
        <v>Food &amp; dining</v>
      </c>
      <c r="H37" t="s">
        <v>6</v>
      </c>
      <c r="I37" s="15">
        <v>-11.3</v>
      </c>
      <c r="J37" t="str">
        <f>IF(Export20251104132100[[#This Row],[Amount]]&gt;=0,"In","out")</f>
        <v>out</v>
      </c>
    </row>
    <row r="38" spans="1:10" x14ac:dyDescent="0.35">
      <c r="A38" s="1">
        <v>45673</v>
      </c>
      <c r="B38" s="1" t="str">
        <f t="shared" si="0"/>
        <v>2025-01</v>
      </c>
      <c r="C38">
        <v>2025011602</v>
      </c>
      <c r="D38" t="s">
        <v>6</v>
      </c>
      <c r="E38" t="s">
        <v>27</v>
      </c>
      <c r="F38" t="s">
        <v>225</v>
      </c>
      <c r="G38" t="str">
        <f>_xlfn.XLOOKUP(Export20251104132100[[#This Row],[Merchant]],Table3[Merchant],Table3[Category],"Unknown")</f>
        <v>Food &amp; dining</v>
      </c>
      <c r="H38" t="s">
        <v>6</v>
      </c>
      <c r="I38" s="15">
        <v>-5</v>
      </c>
      <c r="J38" t="str">
        <f>IF(Export20251104132100[[#This Row],[Amount]]&gt;=0,"In","out")</f>
        <v>out</v>
      </c>
    </row>
    <row r="39" spans="1:10" x14ac:dyDescent="0.35">
      <c r="A39" s="1">
        <v>45673</v>
      </c>
      <c r="B39" s="1" t="str">
        <f t="shared" si="0"/>
        <v>2025-01</v>
      </c>
      <c r="C39">
        <v>2025011603</v>
      </c>
      <c r="D39" t="s">
        <v>6</v>
      </c>
      <c r="E39" t="s">
        <v>27</v>
      </c>
      <c r="F39" t="s">
        <v>225</v>
      </c>
      <c r="G39" t="str">
        <f>_xlfn.XLOOKUP(Export20251104132100[[#This Row],[Merchant]],Table3[Merchant],Table3[Category],"Unknown")</f>
        <v>Food &amp; dining</v>
      </c>
      <c r="H39" t="s">
        <v>6</v>
      </c>
      <c r="I39" s="15">
        <v>-5</v>
      </c>
      <c r="J39" t="str">
        <f>IF(Export20251104132100[[#This Row],[Amount]]&gt;=0,"In","out")</f>
        <v>out</v>
      </c>
    </row>
    <row r="40" spans="1:10" x14ac:dyDescent="0.35">
      <c r="A40" s="1">
        <v>45673</v>
      </c>
      <c r="B40" s="1" t="str">
        <f t="shared" si="0"/>
        <v>2025-01</v>
      </c>
      <c r="C40">
        <v>2025011601</v>
      </c>
      <c r="D40" t="s">
        <v>6</v>
      </c>
      <c r="E40" t="s">
        <v>23</v>
      </c>
      <c r="F40" t="s">
        <v>226</v>
      </c>
      <c r="G40" t="str">
        <f>_xlfn.XLOOKUP(Export20251104132100[[#This Row],[Merchant]],Table3[Merchant],Table3[Category],"Unknown")</f>
        <v>Food &amp; dining</v>
      </c>
      <c r="H40" t="s">
        <v>6</v>
      </c>
      <c r="I40" s="15">
        <v>-13</v>
      </c>
      <c r="J40" t="str">
        <f>IF(Export20251104132100[[#This Row],[Amount]]&gt;=0,"In","out")</f>
        <v>out</v>
      </c>
    </row>
    <row r="41" spans="1:10" x14ac:dyDescent="0.35">
      <c r="A41" s="1">
        <v>45674</v>
      </c>
      <c r="B41" s="1" t="str">
        <f t="shared" si="0"/>
        <v>2025-01</v>
      </c>
      <c r="C41">
        <v>2025011704</v>
      </c>
      <c r="D41" t="s">
        <v>33</v>
      </c>
      <c r="E41" t="s">
        <v>34</v>
      </c>
      <c r="F41" t="s">
        <v>170</v>
      </c>
      <c r="G41" t="str">
        <f>_xlfn.XLOOKUP(Export20251104132100[[#This Row],[Merchant]],Table3[Merchant],Table3[Category],"Unknown")</f>
        <v>Income</v>
      </c>
      <c r="H41" t="s">
        <v>35</v>
      </c>
      <c r="I41" s="16">
        <v>30</v>
      </c>
      <c r="J41" t="str">
        <f>IF(Export20251104132100[[#This Row],[Amount]]&gt;=0,"In","out")</f>
        <v>In</v>
      </c>
    </row>
    <row r="42" spans="1:10" x14ac:dyDescent="0.35">
      <c r="A42" s="1">
        <v>45674</v>
      </c>
      <c r="B42" s="1" t="str">
        <f t="shared" si="0"/>
        <v>2025-01</v>
      </c>
      <c r="C42">
        <v>2025011705</v>
      </c>
      <c r="D42" t="s">
        <v>6</v>
      </c>
      <c r="E42" t="s">
        <v>36</v>
      </c>
      <c r="F42" t="s">
        <v>189</v>
      </c>
      <c r="G42" t="str">
        <f>_xlfn.XLOOKUP(Export20251104132100[[#This Row],[Merchant]],Table3[Merchant],Table3[Category],"Unknown")</f>
        <v>Groceries</v>
      </c>
      <c r="H42" t="s">
        <v>6</v>
      </c>
      <c r="I42" s="15">
        <v>-35.549999999999997</v>
      </c>
      <c r="J42" t="str">
        <f>IF(Export20251104132100[[#This Row],[Amount]]&gt;=0,"In","out")</f>
        <v>out</v>
      </c>
    </row>
    <row r="43" spans="1:10" x14ac:dyDescent="0.35">
      <c r="A43" s="1">
        <v>45674</v>
      </c>
      <c r="B43" s="1" t="str">
        <f t="shared" si="0"/>
        <v>2025-01</v>
      </c>
      <c r="C43">
        <v>2025011701</v>
      </c>
      <c r="D43" t="s">
        <v>6</v>
      </c>
      <c r="E43" t="s">
        <v>27</v>
      </c>
      <c r="F43" t="s">
        <v>225</v>
      </c>
      <c r="G43" t="str">
        <f>_xlfn.XLOOKUP(Export20251104132100[[#This Row],[Merchant]],Table3[Merchant],Table3[Category],"Unknown")</f>
        <v>Food &amp; dining</v>
      </c>
      <c r="H43" t="s">
        <v>6</v>
      </c>
      <c r="I43" s="15">
        <v>-3</v>
      </c>
      <c r="J43" t="str">
        <f>IF(Export20251104132100[[#This Row],[Amount]]&gt;=0,"In","out")</f>
        <v>out</v>
      </c>
    </row>
    <row r="44" spans="1:10" x14ac:dyDescent="0.35">
      <c r="A44" s="1">
        <v>45674</v>
      </c>
      <c r="B44" s="1" t="str">
        <f t="shared" si="0"/>
        <v>2025-01</v>
      </c>
      <c r="C44">
        <v>2025011702</v>
      </c>
      <c r="D44" t="s">
        <v>6</v>
      </c>
      <c r="E44" t="s">
        <v>27</v>
      </c>
      <c r="F44" t="s">
        <v>225</v>
      </c>
      <c r="G44" t="str">
        <f>_xlfn.XLOOKUP(Export20251104132100[[#This Row],[Merchant]],Table3[Merchant],Table3[Category],"Unknown")</f>
        <v>Food &amp; dining</v>
      </c>
      <c r="H44" t="s">
        <v>6</v>
      </c>
      <c r="I44" s="15">
        <v>-5.5</v>
      </c>
      <c r="J44" t="str">
        <f>IF(Export20251104132100[[#This Row],[Amount]]&gt;=0,"In","out")</f>
        <v>out</v>
      </c>
    </row>
    <row r="45" spans="1:10" x14ac:dyDescent="0.35">
      <c r="A45" s="1">
        <v>45674</v>
      </c>
      <c r="B45" s="1" t="str">
        <f t="shared" si="0"/>
        <v>2025-01</v>
      </c>
      <c r="C45">
        <v>2025011703</v>
      </c>
      <c r="D45" t="s">
        <v>6</v>
      </c>
      <c r="E45" t="s">
        <v>27</v>
      </c>
      <c r="F45" t="s">
        <v>225</v>
      </c>
      <c r="G45" t="str">
        <f>_xlfn.XLOOKUP(Export20251104132100[[#This Row],[Merchant]],Table3[Merchant],Table3[Category],"Unknown")</f>
        <v>Food &amp; dining</v>
      </c>
      <c r="H45" t="s">
        <v>6</v>
      </c>
      <c r="I45" s="15">
        <v>-3</v>
      </c>
      <c r="J45" t="str">
        <f>IF(Export20251104132100[[#This Row],[Amount]]&gt;=0,"In","out")</f>
        <v>out</v>
      </c>
    </row>
    <row r="46" spans="1:10" x14ac:dyDescent="0.35">
      <c r="A46" s="1">
        <v>45674</v>
      </c>
      <c r="B46" s="1" t="str">
        <f t="shared" si="0"/>
        <v>2025-01</v>
      </c>
      <c r="C46">
        <v>2025011706</v>
      </c>
      <c r="D46" t="s">
        <v>6</v>
      </c>
      <c r="E46" t="s">
        <v>37</v>
      </c>
      <c r="F46" t="s">
        <v>154</v>
      </c>
      <c r="G46" t="str">
        <f>_xlfn.XLOOKUP(Export20251104132100[[#This Row],[Merchant]],Table3[Merchant],Table3[Category],"Unknown")</f>
        <v>Shopping</v>
      </c>
      <c r="H46" t="s">
        <v>6</v>
      </c>
      <c r="I46" s="15">
        <v>-18.899999999999999</v>
      </c>
      <c r="J46" t="str">
        <f>IF(Export20251104132100[[#This Row],[Amount]]&gt;=0,"In","out")</f>
        <v>out</v>
      </c>
    </row>
    <row r="47" spans="1:10" x14ac:dyDescent="0.35">
      <c r="A47" s="1">
        <v>45675</v>
      </c>
      <c r="B47" s="1" t="str">
        <f t="shared" si="0"/>
        <v>2025-01</v>
      </c>
      <c r="C47">
        <v>2025011805</v>
      </c>
      <c r="D47" t="s">
        <v>6</v>
      </c>
      <c r="E47" t="s">
        <v>42</v>
      </c>
      <c r="F47" t="s">
        <v>233</v>
      </c>
      <c r="G47" t="str">
        <f>_xlfn.XLOOKUP(Export20251104132100[[#This Row],[Merchant]],Table3[Merchant],Table3[Category],"Unknown")</f>
        <v>Subscription</v>
      </c>
      <c r="H47" t="s">
        <v>6</v>
      </c>
      <c r="I47" s="15">
        <v>-10.99</v>
      </c>
      <c r="J47" t="str">
        <f>IF(Export20251104132100[[#This Row],[Amount]]&gt;=0,"In","out")</f>
        <v>out</v>
      </c>
    </row>
    <row r="48" spans="1:10" x14ac:dyDescent="0.35">
      <c r="A48" s="1">
        <v>45675</v>
      </c>
      <c r="B48" s="1" t="str">
        <f t="shared" si="0"/>
        <v>2025-01</v>
      </c>
      <c r="C48">
        <v>2025011802</v>
      </c>
      <c r="D48" t="s">
        <v>6</v>
      </c>
      <c r="E48" t="s">
        <v>39</v>
      </c>
      <c r="F48" t="s">
        <v>232</v>
      </c>
      <c r="G48" t="str">
        <f>_xlfn.XLOOKUP(Export20251104132100[[#This Row],[Merchant]],Table3[Merchant],Table3[Category],"Unknown")</f>
        <v>Food &amp; dining</v>
      </c>
      <c r="H48" t="s">
        <v>6</v>
      </c>
      <c r="I48" s="15">
        <v>-17.34</v>
      </c>
      <c r="J48" t="str">
        <f>IF(Export20251104132100[[#This Row],[Amount]]&gt;=0,"In","out")</f>
        <v>out</v>
      </c>
    </row>
    <row r="49" spans="1:10" x14ac:dyDescent="0.35">
      <c r="A49" s="1">
        <v>45675</v>
      </c>
      <c r="B49" s="1" t="str">
        <f t="shared" si="0"/>
        <v>2025-01</v>
      </c>
      <c r="C49">
        <v>2025011803</v>
      </c>
      <c r="D49" t="s">
        <v>6</v>
      </c>
      <c r="E49" t="s">
        <v>39</v>
      </c>
      <c r="F49" t="s">
        <v>232</v>
      </c>
      <c r="G49" t="str">
        <f>_xlfn.XLOOKUP(Export20251104132100[[#This Row],[Merchant]],Table3[Merchant],Table3[Category],"Unknown")</f>
        <v>Food &amp; dining</v>
      </c>
      <c r="H49" t="s">
        <v>6</v>
      </c>
      <c r="I49" s="15">
        <v>-37.74</v>
      </c>
      <c r="J49" t="str">
        <f>IF(Export20251104132100[[#This Row],[Amount]]&gt;=0,"In","out")</f>
        <v>out</v>
      </c>
    </row>
    <row r="50" spans="1:10" x14ac:dyDescent="0.35">
      <c r="A50" s="1">
        <v>45675</v>
      </c>
      <c r="B50" s="1" t="str">
        <f t="shared" si="0"/>
        <v>2025-01</v>
      </c>
      <c r="C50">
        <v>2025011804</v>
      </c>
      <c r="D50" t="s">
        <v>19</v>
      </c>
      <c r="E50" t="s">
        <v>40</v>
      </c>
      <c r="F50" t="s">
        <v>166</v>
      </c>
      <c r="G50" t="str">
        <f>_xlfn.XLOOKUP(Export20251104132100[[#This Row],[Merchant]],Table3[Merchant],Table3[Category],"Unknown")</f>
        <v>Transfers</v>
      </c>
      <c r="H50" t="s">
        <v>41</v>
      </c>
      <c r="I50" s="15">
        <v>-6</v>
      </c>
      <c r="J50" t="str">
        <f>IF(Export20251104132100[[#This Row],[Amount]]&gt;=0,"In","out")</f>
        <v>out</v>
      </c>
    </row>
    <row r="51" spans="1:10" x14ac:dyDescent="0.35">
      <c r="A51" s="1">
        <v>45675</v>
      </c>
      <c r="B51" s="1" t="str">
        <f t="shared" si="0"/>
        <v>2025-01</v>
      </c>
      <c r="C51">
        <v>2025011801</v>
      </c>
      <c r="D51" t="s">
        <v>6</v>
      </c>
      <c r="E51" t="s">
        <v>38</v>
      </c>
      <c r="F51" t="s">
        <v>171</v>
      </c>
      <c r="G51" t="str">
        <f>_xlfn.XLOOKUP(Export20251104132100[[#This Row],[Merchant]],Table3[Merchant],Table3[Category],"Unknown")</f>
        <v>Shopping</v>
      </c>
      <c r="H51" t="s">
        <v>6</v>
      </c>
      <c r="I51" s="15">
        <v>-149.99</v>
      </c>
      <c r="J51" t="str">
        <f>IF(Export20251104132100[[#This Row],[Amount]]&gt;=0,"In","out")</f>
        <v>out</v>
      </c>
    </row>
    <row r="52" spans="1:10" x14ac:dyDescent="0.35">
      <c r="A52" s="1">
        <v>45677</v>
      </c>
      <c r="B52" s="1" t="str">
        <f t="shared" si="0"/>
        <v>2025-01</v>
      </c>
      <c r="C52">
        <v>2025012001</v>
      </c>
      <c r="D52" t="s">
        <v>43</v>
      </c>
      <c r="E52" t="s">
        <v>44</v>
      </c>
      <c r="F52" t="s">
        <v>172</v>
      </c>
      <c r="G52" t="str">
        <f>_xlfn.XLOOKUP(Export20251104132100[[#This Row],[Merchant]],Table3[Merchant],Table3[Category],"Unknown")</f>
        <v>Utilities</v>
      </c>
      <c r="H52" t="s">
        <v>45</v>
      </c>
      <c r="I52" s="15">
        <v>-130.72</v>
      </c>
      <c r="J52" t="str">
        <f>IF(Export20251104132100[[#This Row],[Amount]]&gt;=0,"In","out")</f>
        <v>out</v>
      </c>
    </row>
    <row r="53" spans="1:10" x14ac:dyDescent="0.35">
      <c r="A53" s="1">
        <v>45677</v>
      </c>
      <c r="B53" s="1" t="str">
        <f t="shared" si="0"/>
        <v>2025-01</v>
      </c>
      <c r="C53">
        <v>2025012003</v>
      </c>
      <c r="D53" t="s">
        <v>14</v>
      </c>
      <c r="E53" t="s">
        <v>16</v>
      </c>
      <c r="F53" t="s">
        <v>187</v>
      </c>
      <c r="G53" t="str">
        <f>_xlfn.XLOOKUP(Export20251104132100[[#This Row],[Merchant]],Table3[Merchant],Table3[Category],"Unknown")</f>
        <v>Income</v>
      </c>
      <c r="H53" t="s">
        <v>47</v>
      </c>
      <c r="I53" s="15">
        <v>238.67</v>
      </c>
      <c r="J53" t="str">
        <f>IF(Export20251104132100[[#This Row],[Amount]]&gt;=0,"In","out")</f>
        <v>In</v>
      </c>
    </row>
    <row r="54" spans="1:10" x14ac:dyDescent="0.35">
      <c r="A54" s="1">
        <v>45677</v>
      </c>
      <c r="B54" s="1" t="str">
        <f t="shared" si="0"/>
        <v>2025-01</v>
      </c>
      <c r="C54">
        <v>2025012002</v>
      </c>
      <c r="D54" t="s">
        <v>14</v>
      </c>
      <c r="E54" t="s">
        <v>15</v>
      </c>
      <c r="F54" t="s">
        <v>217</v>
      </c>
      <c r="G54" t="str">
        <f>_xlfn.XLOOKUP(Export20251104132100[[#This Row],[Merchant]],Table3[Merchant],Table3[Category],"Unknown")</f>
        <v>Income</v>
      </c>
      <c r="H54" t="s">
        <v>46</v>
      </c>
      <c r="I54" s="15">
        <v>77.72</v>
      </c>
      <c r="J54" t="str">
        <f>IF(Export20251104132100[[#This Row],[Amount]]&gt;=0,"In","out")</f>
        <v>In</v>
      </c>
    </row>
    <row r="55" spans="1:10" x14ac:dyDescent="0.35">
      <c r="A55" s="1">
        <v>45678</v>
      </c>
      <c r="B55" s="1" t="str">
        <f t="shared" si="0"/>
        <v>2025-01</v>
      </c>
      <c r="C55">
        <v>2025012101</v>
      </c>
      <c r="D55" t="s">
        <v>6</v>
      </c>
      <c r="E55" t="s">
        <v>48</v>
      </c>
      <c r="F55" t="s">
        <v>190</v>
      </c>
      <c r="G55" t="str">
        <f>_xlfn.XLOOKUP(Export20251104132100[[#This Row],[Merchant]],Table3[Merchant],Table3[Category],"Unknown")</f>
        <v>Shopping</v>
      </c>
      <c r="H55" t="s">
        <v>6</v>
      </c>
      <c r="I55" s="15">
        <v>-86.98</v>
      </c>
      <c r="J55" t="str">
        <f>IF(Export20251104132100[[#This Row],[Amount]]&gt;=0,"In","out")</f>
        <v>out</v>
      </c>
    </row>
    <row r="56" spans="1:10" x14ac:dyDescent="0.35">
      <c r="A56" s="1">
        <v>45678</v>
      </c>
      <c r="B56" s="1" t="str">
        <f t="shared" si="0"/>
        <v>2025-01</v>
      </c>
      <c r="C56">
        <v>2025012103</v>
      </c>
      <c r="D56" t="s">
        <v>6</v>
      </c>
      <c r="E56" t="s">
        <v>50</v>
      </c>
      <c r="F56" t="s">
        <v>155</v>
      </c>
      <c r="G56" t="str">
        <f>_xlfn.XLOOKUP(Export20251104132100[[#This Row],[Merchant]],Table3[Merchant],Table3[Category],"Unknown")</f>
        <v>Education</v>
      </c>
      <c r="H56" t="s">
        <v>6</v>
      </c>
      <c r="I56" s="15">
        <v>-17.93</v>
      </c>
      <c r="J56" t="str">
        <f>IF(Export20251104132100[[#This Row],[Amount]]&gt;=0,"In","out")</f>
        <v>out</v>
      </c>
    </row>
    <row r="57" spans="1:10" x14ac:dyDescent="0.35">
      <c r="A57" s="1">
        <v>45678</v>
      </c>
      <c r="B57" s="1" t="str">
        <f t="shared" si="0"/>
        <v>2025-01</v>
      </c>
      <c r="C57">
        <v>2025012104</v>
      </c>
      <c r="D57" t="s">
        <v>6</v>
      </c>
      <c r="E57" t="s">
        <v>22</v>
      </c>
      <c r="F57" t="s">
        <v>167</v>
      </c>
      <c r="G57" t="str">
        <f>_xlfn.XLOOKUP(Export20251104132100[[#This Row],[Merchant]],Table3[Merchant],Table3[Category],"Unknown")</f>
        <v>Utilities</v>
      </c>
      <c r="H57" t="s">
        <v>6</v>
      </c>
      <c r="I57" s="15">
        <v>-0.38</v>
      </c>
      <c r="J57" t="str">
        <f>IF(Export20251104132100[[#This Row],[Amount]]&gt;=0,"In","out")</f>
        <v>out</v>
      </c>
    </row>
    <row r="58" spans="1:10" x14ac:dyDescent="0.35">
      <c r="A58" s="1">
        <v>45678</v>
      </c>
      <c r="B58" s="1" t="str">
        <f t="shared" si="0"/>
        <v>2025-01</v>
      </c>
      <c r="C58">
        <v>2025012102</v>
      </c>
      <c r="D58" t="s">
        <v>6</v>
      </c>
      <c r="E58" t="s">
        <v>49</v>
      </c>
      <c r="F58" t="s">
        <v>234</v>
      </c>
      <c r="G58" t="str">
        <f>_xlfn.XLOOKUP(Export20251104132100[[#This Row],[Merchant]],Table3[Merchant],Table3[Category],"Unknown")</f>
        <v>Healthcare</v>
      </c>
      <c r="H58" t="s">
        <v>6</v>
      </c>
      <c r="I58" s="15">
        <v>-19.89</v>
      </c>
      <c r="J58" t="str">
        <f>IF(Export20251104132100[[#This Row],[Amount]]&gt;=0,"In","out")</f>
        <v>out</v>
      </c>
    </row>
    <row r="59" spans="1:10" x14ac:dyDescent="0.35">
      <c r="A59" s="1">
        <v>45679</v>
      </c>
      <c r="B59" s="1" t="str">
        <f t="shared" si="0"/>
        <v>2025-01</v>
      </c>
      <c r="C59">
        <v>2025012201</v>
      </c>
      <c r="D59" t="s">
        <v>19</v>
      </c>
      <c r="E59" t="s">
        <v>51</v>
      </c>
      <c r="F59" t="s">
        <v>173</v>
      </c>
      <c r="G59" t="str">
        <f>_xlfn.XLOOKUP(Export20251104132100[[#This Row],[Merchant]],Table3[Merchant],Table3[Category],"Unknown")</f>
        <v>Transfers</v>
      </c>
      <c r="H59" t="s">
        <v>52</v>
      </c>
      <c r="I59" s="15">
        <v>-5</v>
      </c>
      <c r="J59" t="str">
        <f>IF(Export20251104132100[[#This Row],[Amount]]&gt;=0,"In","out")</f>
        <v>out</v>
      </c>
    </row>
    <row r="60" spans="1:10" x14ac:dyDescent="0.35">
      <c r="A60" s="1">
        <v>45683</v>
      </c>
      <c r="B60" s="1" t="str">
        <f t="shared" si="0"/>
        <v>2025-01</v>
      </c>
      <c r="C60">
        <v>2025012601</v>
      </c>
      <c r="D60" t="s">
        <v>6</v>
      </c>
      <c r="E60" t="s">
        <v>54</v>
      </c>
      <c r="F60" t="s">
        <v>235</v>
      </c>
      <c r="G60" t="str">
        <f>_xlfn.XLOOKUP(Export20251104132100[[#This Row],[Merchant]],Table3[Merchant],Table3[Category],"Unknown")</f>
        <v>Fuel</v>
      </c>
      <c r="H60" t="s">
        <v>6</v>
      </c>
      <c r="I60" s="15">
        <v>-11.4</v>
      </c>
      <c r="J60" t="str">
        <f>IF(Export20251104132100[[#This Row],[Amount]]&gt;=0,"In","out")</f>
        <v>out</v>
      </c>
    </row>
    <row r="61" spans="1:10" x14ac:dyDescent="0.35">
      <c r="A61" s="1">
        <v>45684</v>
      </c>
      <c r="B61" s="1" t="str">
        <f t="shared" si="0"/>
        <v>2025-01</v>
      </c>
      <c r="C61">
        <v>2025012701</v>
      </c>
      <c r="D61" t="s">
        <v>14</v>
      </c>
      <c r="E61" t="s">
        <v>16</v>
      </c>
      <c r="F61" t="s">
        <v>187</v>
      </c>
      <c r="G61" t="str">
        <f>_xlfn.XLOOKUP(Export20251104132100[[#This Row],[Merchant]],Table3[Merchant],Table3[Category],"Unknown")</f>
        <v>Income</v>
      </c>
      <c r="H61" t="s">
        <v>55</v>
      </c>
      <c r="I61" s="15">
        <v>238.67</v>
      </c>
      <c r="J61" t="str">
        <f>IF(Export20251104132100[[#This Row],[Amount]]&gt;=0,"In","out")</f>
        <v>In</v>
      </c>
    </row>
    <row r="62" spans="1:10" x14ac:dyDescent="0.35">
      <c r="A62" s="1">
        <v>45684</v>
      </c>
      <c r="B62" s="1" t="str">
        <f t="shared" si="0"/>
        <v>2025-01</v>
      </c>
      <c r="C62">
        <v>2025012702</v>
      </c>
      <c r="D62" t="s">
        <v>14</v>
      </c>
      <c r="E62" t="s">
        <v>15</v>
      </c>
      <c r="F62" t="s">
        <v>217</v>
      </c>
      <c r="G62" t="str">
        <f>_xlfn.XLOOKUP(Export20251104132100[[#This Row],[Merchant]],Table3[Merchant],Table3[Category],"Unknown")</f>
        <v>Income</v>
      </c>
      <c r="H62" t="s">
        <v>56</v>
      </c>
      <c r="I62" s="15">
        <v>77.72</v>
      </c>
      <c r="J62" t="str">
        <f>IF(Export20251104132100[[#This Row],[Amount]]&gt;=0,"In","out")</f>
        <v>In</v>
      </c>
    </row>
    <row r="63" spans="1:10" x14ac:dyDescent="0.35">
      <c r="A63" s="1">
        <v>45685</v>
      </c>
      <c r="B63" s="1" t="str">
        <f t="shared" si="0"/>
        <v>2025-01</v>
      </c>
      <c r="C63">
        <v>2025012802</v>
      </c>
      <c r="D63" t="s">
        <v>6</v>
      </c>
      <c r="E63" t="s">
        <v>58</v>
      </c>
      <c r="F63" t="s">
        <v>191</v>
      </c>
      <c r="G63" t="str">
        <f>_xlfn.XLOOKUP(Export20251104132100[[#This Row],[Merchant]],Table3[Merchant],Table3[Category],"Unknown")</f>
        <v>Entertainment</v>
      </c>
      <c r="H63" t="s">
        <v>6</v>
      </c>
      <c r="I63" s="15">
        <v>-12</v>
      </c>
      <c r="J63" t="str">
        <f>IF(Export20251104132100[[#This Row],[Amount]]&gt;=0,"In","out")</f>
        <v>out</v>
      </c>
    </row>
    <row r="64" spans="1:10" x14ac:dyDescent="0.35">
      <c r="A64" s="1">
        <v>45685</v>
      </c>
      <c r="B64" s="1" t="str">
        <f t="shared" si="0"/>
        <v>2025-01</v>
      </c>
      <c r="C64">
        <v>2025012803</v>
      </c>
      <c r="D64" t="s">
        <v>6</v>
      </c>
      <c r="E64" t="s">
        <v>58</v>
      </c>
      <c r="F64" t="s">
        <v>191</v>
      </c>
      <c r="G64" t="str">
        <f>_xlfn.XLOOKUP(Export20251104132100[[#This Row],[Merchant]],Table3[Merchant],Table3[Category],"Unknown")</f>
        <v>Entertainment</v>
      </c>
      <c r="H64" t="s">
        <v>6</v>
      </c>
      <c r="I64" s="15">
        <v>-36</v>
      </c>
      <c r="J64" t="str">
        <f>IF(Export20251104132100[[#This Row],[Amount]]&gt;=0,"In","out")</f>
        <v>out</v>
      </c>
    </row>
    <row r="65" spans="1:10" x14ac:dyDescent="0.35">
      <c r="A65" s="1">
        <v>45685</v>
      </c>
      <c r="B65" s="1" t="str">
        <f t="shared" si="0"/>
        <v>2025-01</v>
      </c>
      <c r="C65">
        <v>2025012801</v>
      </c>
      <c r="D65" t="s">
        <v>6</v>
      </c>
      <c r="E65" t="s">
        <v>57</v>
      </c>
      <c r="F65" t="s">
        <v>175</v>
      </c>
      <c r="G65" t="str">
        <f>_xlfn.XLOOKUP(Export20251104132100[[#This Row],[Merchant]],Table3[Merchant],Table3[Category],"Unknown")</f>
        <v>Entertainment</v>
      </c>
      <c r="H65" t="s">
        <v>6</v>
      </c>
      <c r="I65" s="15">
        <v>-57.38</v>
      </c>
      <c r="J65" t="str">
        <f>IF(Export20251104132100[[#This Row],[Amount]]&gt;=0,"In","out")</f>
        <v>out</v>
      </c>
    </row>
    <row r="66" spans="1:10" x14ac:dyDescent="0.35">
      <c r="A66" s="1">
        <v>45686</v>
      </c>
      <c r="B66" s="1" t="str">
        <f t="shared" ref="B66:B129" si="1">TEXT(A66,"yyyy-mm")</f>
        <v>2025-01</v>
      </c>
      <c r="C66">
        <v>2025012901</v>
      </c>
      <c r="D66" t="s">
        <v>6</v>
      </c>
      <c r="E66" t="s">
        <v>59</v>
      </c>
      <c r="F66" t="s">
        <v>156</v>
      </c>
      <c r="G66" t="str">
        <f>_xlfn.XLOOKUP(Export20251104132100[[#This Row],[Merchant]],Table3[Merchant],Table3[Category],"Unknown")</f>
        <v>Groceries</v>
      </c>
      <c r="H66" t="s">
        <v>6</v>
      </c>
      <c r="I66" s="15">
        <v>-20.49</v>
      </c>
      <c r="J66" t="str">
        <f>IF(Export20251104132100[[#This Row],[Amount]]&gt;=0,"In","out")</f>
        <v>out</v>
      </c>
    </row>
    <row r="67" spans="1:10" x14ac:dyDescent="0.35">
      <c r="A67" s="1">
        <v>45687</v>
      </c>
      <c r="B67" s="1" t="str">
        <f t="shared" si="1"/>
        <v>2025-01</v>
      </c>
      <c r="C67">
        <v>2025013001</v>
      </c>
      <c r="D67" t="s">
        <v>19</v>
      </c>
      <c r="E67" t="s">
        <v>60</v>
      </c>
      <c r="F67" t="s">
        <v>176</v>
      </c>
      <c r="G67" t="str">
        <f>_xlfn.XLOOKUP(Export20251104132100[[#This Row],[Merchant]],Table3[Merchant],Table3[Category],"Unknown")</f>
        <v>Transfers</v>
      </c>
      <c r="H67" t="s">
        <v>61</v>
      </c>
      <c r="I67" s="15">
        <v>-31</v>
      </c>
      <c r="J67" t="str">
        <f>IF(Export20251104132100[[#This Row],[Amount]]&gt;=0,"In","out")</f>
        <v>out</v>
      </c>
    </row>
    <row r="68" spans="1:10" x14ac:dyDescent="0.35">
      <c r="A68" s="1">
        <v>45688</v>
      </c>
      <c r="B68" s="1" t="str">
        <f t="shared" si="1"/>
        <v>2025-01</v>
      </c>
      <c r="C68">
        <v>2025013101</v>
      </c>
      <c r="D68" t="s">
        <v>6</v>
      </c>
      <c r="E68" t="s">
        <v>17</v>
      </c>
      <c r="F68" t="s">
        <v>222</v>
      </c>
      <c r="G68" t="str">
        <f>_xlfn.XLOOKUP(Export20251104132100[[#This Row],[Merchant]],Table3[Merchant],Table3[Category],"Unknown")</f>
        <v>Grooming</v>
      </c>
      <c r="H68" t="s">
        <v>6</v>
      </c>
      <c r="I68" s="15">
        <v>-66.63</v>
      </c>
      <c r="J68" t="str">
        <f>IF(Export20251104132100[[#This Row],[Amount]]&gt;=0,"In","out")</f>
        <v>out</v>
      </c>
    </row>
    <row r="69" spans="1:10" x14ac:dyDescent="0.35">
      <c r="A69" s="1">
        <v>45688</v>
      </c>
      <c r="B69" s="1" t="str">
        <f t="shared" si="1"/>
        <v>2025-01</v>
      </c>
      <c r="C69">
        <v>2025013102</v>
      </c>
      <c r="D69" t="s">
        <v>6</v>
      </c>
      <c r="E69" t="s">
        <v>62</v>
      </c>
      <c r="F69" t="s">
        <v>235</v>
      </c>
      <c r="G69" t="str">
        <f>_xlfn.XLOOKUP(Export20251104132100[[#This Row],[Merchant]],Table3[Merchant],Table3[Category],"Unknown")</f>
        <v>Fuel</v>
      </c>
      <c r="H69" t="s">
        <v>6</v>
      </c>
      <c r="I69" s="15">
        <v>-66</v>
      </c>
      <c r="J69" t="str">
        <f>IF(Export20251104132100[[#This Row],[Amount]]&gt;=0,"In","out")</f>
        <v>out</v>
      </c>
    </row>
    <row r="70" spans="1:10" x14ac:dyDescent="0.35">
      <c r="A70" s="1">
        <v>45688</v>
      </c>
      <c r="B70" s="1" t="str">
        <f t="shared" si="1"/>
        <v>2025-01</v>
      </c>
      <c r="C70">
        <v>2025013103</v>
      </c>
      <c r="D70" t="s">
        <v>6</v>
      </c>
      <c r="E70" t="s">
        <v>63</v>
      </c>
      <c r="F70" t="s">
        <v>192</v>
      </c>
      <c r="G70" t="str">
        <f>_xlfn.XLOOKUP(Export20251104132100[[#This Row],[Merchant]],Table3[Merchant],Table3[Category],"Unknown")</f>
        <v>Entertainment</v>
      </c>
      <c r="H70" t="s">
        <v>6</v>
      </c>
      <c r="I70" s="15">
        <v>-4</v>
      </c>
      <c r="J70" t="str">
        <f>IF(Export20251104132100[[#This Row],[Amount]]&gt;=0,"In","out")</f>
        <v>out</v>
      </c>
    </row>
    <row r="71" spans="1:10" x14ac:dyDescent="0.35">
      <c r="A71" s="1">
        <v>45688</v>
      </c>
      <c r="B71" s="1" t="str">
        <f t="shared" si="1"/>
        <v>2025-01</v>
      </c>
      <c r="C71">
        <v>2025013104</v>
      </c>
      <c r="D71" t="s">
        <v>6</v>
      </c>
      <c r="E71" t="s">
        <v>63</v>
      </c>
      <c r="F71" t="s">
        <v>192</v>
      </c>
      <c r="G71" t="str">
        <f>_xlfn.XLOOKUP(Export20251104132100[[#This Row],[Merchant]],Table3[Merchant],Table3[Category],"Unknown")</f>
        <v>Entertainment</v>
      </c>
      <c r="H71" t="s">
        <v>6</v>
      </c>
      <c r="I71" s="15">
        <v>-17.25</v>
      </c>
      <c r="J71" t="str">
        <f>IF(Export20251104132100[[#This Row],[Amount]]&gt;=0,"In","out")</f>
        <v>out</v>
      </c>
    </row>
    <row r="72" spans="1:10" x14ac:dyDescent="0.35">
      <c r="A72" s="1">
        <v>45689</v>
      </c>
      <c r="B72" s="1" t="str">
        <f t="shared" si="1"/>
        <v>2025-02</v>
      </c>
      <c r="C72">
        <v>2025020101</v>
      </c>
      <c r="D72" t="s">
        <v>6</v>
      </c>
      <c r="E72" t="s">
        <v>64</v>
      </c>
      <c r="F72" t="s">
        <v>236</v>
      </c>
      <c r="G72" t="str">
        <f>_xlfn.XLOOKUP(Export20251104132100[[#This Row],[Merchant]],Table3[Merchant],Table3[Category],"Unknown")</f>
        <v>Food &amp; dining</v>
      </c>
      <c r="H72" t="s">
        <v>6</v>
      </c>
      <c r="I72" s="15">
        <v>-4.6100000000000003</v>
      </c>
      <c r="J72" t="str">
        <f>IF(Export20251104132100[[#This Row],[Amount]]&gt;=0,"In","out")</f>
        <v>out</v>
      </c>
    </row>
    <row r="73" spans="1:10" x14ac:dyDescent="0.35">
      <c r="A73" s="1">
        <v>45689</v>
      </c>
      <c r="B73" s="1" t="str">
        <f t="shared" si="1"/>
        <v>2025-02</v>
      </c>
      <c r="C73">
        <v>2025020102</v>
      </c>
      <c r="D73" t="s">
        <v>6</v>
      </c>
      <c r="E73" t="s">
        <v>65</v>
      </c>
      <c r="F73" t="s">
        <v>177</v>
      </c>
      <c r="G73" t="str">
        <f>_xlfn.XLOOKUP(Export20251104132100[[#This Row],[Merchant]],Table3[Merchant],Table3[Category],"Unknown")</f>
        <v>Food &amp; dining</v>
      </c>
      <c r="H73" t="s">
        <v>6</v>
      </c>
      <c r="I73" s="15">
        <v>-22.99</v>
      </c>
      <c r="J73" t="str">
        <f>IF(Export20251104132100[[#This Row],[Amount]]&gt;=0,"In","out")</f>
        <v>out</v>
      </c>
    </row>
    <row r="74" spans="1:10" x14ac:dyDescent="0.35">
      <c r="A74" s="1">
        <v>45690</v>
      </c>
      <c r="B74" s="1" t="str">
        <f t="shared" si="1"/>
        <v>2025-02</v>
      </c>
      <c r="C74">
        <v>2025020201</v>
      </c>
      <c r="D74" t="s">
        <v>6</v>
      </c>
      <c r="E74" t="s">
        <v>54</v>
      </c>
      <c r="F74" t="s">
        <v>235</v>
      </c>
      <c r="G74" t="str">
        <f>_xlfn.XLOOKUP(Export20251104132100[[#This Row],[Merchant]],Table3[Merchant],Table3[Category],"Unknown")</f>
        <v>Fuel</v>
      </c>
      <c r="H74" t="s">
        <v>6</v>
      </c>
      <c r="I74" s="15">
        <v>-11.4</v>
      </c>
      <c r="J74" t="str">
        <f>IF(Export20251104132100[[#This Row],[Amount]]&gt;=0,"In","out")</f>
        <v>out</v>
      </c>
    </row>
    <row r="75" spans="1:10" x14ac:dyDescent="0.35">
      <c r="A75" s="1">
        <v>45691</v>
      </c>
      <c r="B75" s="1" t="str">
        <f t="shared" si="1"/>
        <v>2025-02</v>
      </c>
      <c r="C75">
        <v>2025020303</v>
      </c>
      <c r="D75" t="s">
        <v>14</v>
      </c>
      <c r="E75" t="s">
        <v>16</v>
      </c>
      <c r="F75" t="s">
        <v>187</v>
      </c>
      <c r="G75" t="str">
        <f>_xlfn.XLOOKUP(Export20251104132100[[#This Row],[Merchant]],Table3[Merchant],Table3[Category],"Unknown")</f>
        <v>Income</v>
      </c>
      <c r="H75" t="s">
        <v>67</v>
      </c>
      <c r="I75" s="15">
        <v>238.67</v>
      </c>
      <c r="J75" t="str">
        <f>IF(Export20251104132100[[#This Row],[Amount]]&gt;=0,"In","out")</f>
        <v>In</v>
      </c>
    </row>
    <row r="76" spans="1:10" x14ac:dyDescent="0.35">
      <c r="A76" s="1">
        <v>45691</v>
      </c>
      <c r="B76" s="1" t="str">
        <f t="shared" si="1"/>
        <v>2025-02</v>
      </c>
      <c r="C76">
        <v>2025020302</v>
      </c>
      <c r="D76" t="s">
        <v>14</v>
      </c>
      <c r="E76" t="s">
        <v>15</v>
      </c>
      <c r="F76" t="s">
        <v>217</v>
      </c>
      <c r="G76" t="str">
        <f>_xlfn.XLOOKUP(Export20251104132100[[#This Row],[Merchant]],Table3[Merchant],Table3[Category],"Unknown")</f>
        <v>Income</v>
      </c>
      <c r="H76" t="s">
        <v>66</v>
      </c>
      <c r="I76" s="15">
        <v>77.72</v>
      </c>
      <c r="J76" t="str">
        <f>IF(Export20251104132100[[#This Row],[Amount]]&gt;=0,"In","out")</f>
        <v>In</v>
      </c>
    </row>
    <row r="77" spans="1:10" x14ac:dyDescent="0.35">
      <c r="A77" s="1">
        <v>45691</v>
      </c>
      <c r="B77" s="1" t="str">
        <f t="shared" si="1"/>
        <v>2025-02</v>
      </c>
      <c r="C77">
        <v>2025020301</v>
      </c>
      <c r="D77" t="s">
        <v>6</v>
      </c>
      <c r="E77" t="s">
        <v>7</v>
      </c>
      <c r="F77" t="s">
        <v>150</v>
      </c>
      <c r="G77" t="str">
        <f>_xlfn.XLOOKUP(Export20251104132100[[#This Row],[Merchant]],Table3[Merchant],Table3[Category],"Unknown")</f>
        <v>Subscription</v>
      </c>
      <c r="H77" t="s">
        <v>6</v>
      </c>
      <c r="I77" s="15">
        <v>-27.99</v>
      </c>
      <c r="J77" t="str">
        <f>IF(Export20251104132100[[#This Row],[Amount]]&gt;=0,"In","out")</f>
        <v>out</v>
      </c>
    </row>
    <row r="78" spans="1:10" x14ac:dyDescent="0.35">
      <c r="A78" s="1">
        <v>45692</v>
      </c>
      <c r="B78" s="1" t="str">
        <f t="shared" si="1"/>
        <v>2025-02</v>
      </c>
      <c r="C78">
        <v>2025020401</v>
      </c>
      <c r="D78" t="s">
        <v>6</v>
      </c>
      <c r="E78" t="s">
        <v>68</v>
      </c>
      <c r="F78" t="s">
        <v>151</v>
      </c>
      <c r="G78" t="str">
        <f>_xlfn.XLOOKUP(Export20251104132100[[#This Row],[Merchant]],Table3[Merchant],Table3[Category],"Unknown")</f>
        <v>Subscription</v>
      </c>
      <c r="H78" t="s">
        <v>6</v>
      </c>
      <c r="I78" s="15">
        <v>-18.989999999999998</v>
      </c>
      <c r="J78" t="str">
        <f>IF(Export20251104132100[[#This Row],[Amount]]&gt;=0,"In","out")</f>
        <v>out</v>
      </c>
    </row>
    <row r="79" spans="1:10" x14ac:dyDescent="0.35">
      <c r="A79" s="1">
        <v>45693</v>
      </c>
      <c r="B79" s="1" t="str">
        <f t="shared" si="1"/>
        <v>2025-02</v>
      </c>
      <c r="C79">
        <v>2025020501</v>
      </c>
      <c r="D79" t="s">
        <v>6</v>
      </c>
      <c r="E79" t="s">
        <v>69</v>
      </c>
      <c r="F79" t="s">
        <v>190</v>
      </c>
      <c r="G79" t="str">
        <f>_xlfn.XLOOKUP(Export20251104132100[[#This Row],[Merchant]],Table3[Merchant],Table3[Category],"Unknown")</f>
        <v>Shopping</v>
      </c>
      <c r="H79" t="s">
        <v>6</v>
      </c>
      <c r="I79" s="15">
        <v>-101.98</v>
      </c>
      <c r="J79" t="str">
        <f>IF(Export20251104132100[[#This Row],[Amount]]&gt;=0,"In","out")</f>
        <v>out</v>
      </c>
    </row>
    <row r="80" spans="1:10" x14ac:dyDescent="0.35">
      <c r="A80" s="1">
        <v>45695</v>
      </c>
      <c r="B80" s="1" t="str">
        <f t="shared" si="1"/>
        <v>2025-02</v>
      </c>
      <c r="C80">
        <v>2025020703</v>
      </c>
      <c r="D80" t="s">
        <v>6</v>
      </c>
      <c r="E80" t="s">
        <v>70</v>
      </c>
      <c r="F80" t="s">
        <v>237</v>
      </c>
      <c r="G80" t="str">
        <f>_xlfn.XLOOKUP(Export20251104132100[[#This Row],[Merchant]],Table3[Merchant],Table3[Category],"Unknown")</f>
        <v>Shopping</v>
      </c>
      <c r="H80" t="s">
        <v>6</v>
      </c>
      <c r="I80" s="15">
        <v>-15.56</v>
      </c>
      <c r="J80" t="str">
        <f>IF(Export20251104132100[[#This Row],[Amount]]&gt;=0,"In","out")</f>
        <v>out</v>
      </c>
    </row>
    <row r="81" spans="1:10" x14ac:dyDescent="0.35">
      <c r="A81" s="1">
        <v>45695</v>
      </c>
      <c r="B81" s="1" t="str">
        <f t="shared" si="1"/>
        <v>2025-02</v>
      </c>
      <c r="C81">
        <v>2025020702</v>
      </c>
      <c r="D81" t="s">
        <v>6</v>
      </c>
      <c r="E81" t="s">
        <v>22</v>
      </c>
      <c r="F81" t="s">
        <v>167</v>
      </c>
      <c r="G81" t="str">
        <f>_xlfn.XLOOKUP(Export20251104132100[[#This Row],[Merchant]],Table3[Merchant],Table3[Category],"Unknown")</f>
        <v>Utilities</v>
      </c>
      <c r="H81" t="s">
        <v>6</v>
      </c>
      <c r="I81" s="15">
        <v>-0.37</v>
      </c>
      <c r="J81" t="str">
        <f>IF(Export20251104132100[[#This Row],[Amount]]&gt;=0,"In","out")</f>
        <v>out</v>
      </c>
    </row>
    <row r="82" spans="1:10" x14ac:dyDescent="0.35">
      <c r="A82" s="1">
        <v>45695</v>
      </c>
      <c r="B82" s="1" t="str">
        <f t="shared" si="1"/>
        <v>2025-02</v>
      </c>
      <c r="C82">
        <v>2025020701</v>
      </c>
      <c r="D82" t="s">
        <v>6</v>
      </c>
      <c r="E82" t="s">
        <v>223</v>
      </c>
      <c r="F82" t="s">
        <v>223</v>
      </c>
      <c r="G82" t="str">
        <f>_xlfn.XLOOKUP(Export20251104132100[[#This Row],[Merchant]],Table3[Merchant],Table3[Category],"Unknown")</f>
        <v>Entertainment</v>
      </c>
      <c r="H82" t="s">
        <v>6</v>
      </c>
      <c r="I82" s="15">
        <v>-17.7</v>
      </c>
      <c r="J82" t="str">
        <f>IF(Export20251104132100[[#This Row],[Amount]]&gt;=0,"In","out")</f>
        <v>out</v>
      </c>
    </row>
    <row r="83" spans="1:10" x14ac:dyDescent="0.35">
      <c r="A83" s="1">
        <v>45696</v>
      </c>
      <c r="B83" s="1" t="str">
        <f t="shared" si="1"/>
        <v>2025-02</v>
      </c>
      <c r="C83">
        <v>2025020801</v>
      </c>
      <c r="D83" t="s">
        <v>6</v>
      </c>
      <c r="E83" t="s">
        <v>13</v>
      </c>
      <c r="F83" t="s">
        <v>152</v>
      </c>
      <c r="G83" t="str">
        <f>_xlfn.XLOOKUP(Export20251104132100[[#This Row],[Merchant]],Table3[Merchant],Table3[Category],"Unknown")</f>
        <v>Entertainment</v>
      </c>
      <c r="H83" t="s">
        <v>6</v>
      </c>
      <c r="I83" s="15">
        <v>-22.99</v>
      </c>
      <c r="J83" t="str">
        <f>IF(Export20251104132100[[#This Row],[Amount]]&gt;=0,"In","out")</f>
        <v>out</v>
      </c>
    </row>
    <row r="84" spans="1:10" x14ac:dyDescent="0.35">
      <c r="A84" s="1">
        <v>45696</v>
      </c>
      <c r="B84" s="1" t="str">
        <f t="shared" si="1"/>
        <v>2025-02</v>
      </c>
      <c r="C84">
        <v>2025020802</v>
      </c>
      <c r="D84" t="s">
        <v>6</v>
      </c>
      <c r="E84" t="s">
        <v>71</v>
      </c>
      <c r="F84" t="s">
        <v>178</v>
      </c>
      <c r="G84" t="str">
        <f>_xlfn.XLOOKUP(Export20251104132100[[#This Row],[Merchant]],Table3[Merchant],Table3[Category],"Unknown")</f>
        <v>Food &amp; dining</v>
      </c>
      <c r="H84" t="s">
        <v>6</v>
      </c>
      <c r="I84" s="15">
        <v>-10.28</v>
      </c>
      <c r="J84" t="str">
        <f>IF(Export20251104132100[[#This Row],[Amount]]&gt;=0,"In","out")</f>
        <v>out</v>
      </c>
    </row>
    <row r="85" spans="1:10" x14ac:dyDescent="0.35">
      <c r="A85" s="1">
        <v>45697</v>
      </c>
      <c r="B85" s="1" t="str">
        <f t="shared" si="1"/>
        <v>2025-02</v>
      </c>
      <c r="C85">
        <v>2025020901</v>
      </c>
      <c r="D85" t="s">
        <v>6</v>
      </c>
      <c r="E85" t="s">
        <v>54</v>
      </c>
      <c r="F85" t="s">
        <v>235</v>
      </c>
      <c r="G85" t="str">
        <f>_xlfn.XLOOKUP(Export20251104132100[[#This Row],[Merchant]],Table3[Merchant],Table3[Category],"Unknown")</f>
        <v>Fuel</v>
      </c>
      <c r="H85" t="s">
        <v>6</v>
      </c>
      <c r="I85" s="15">
        <v>-11</v>
      </c>
      <c r="J85" t="str">
        <f>IF(Export20251104132100[[#This Row],[Amount]]&gt;=0,"In","out")</f>
        <v>out</v>
      </c>
    </row>
    <row r="86" spans="1:10" x14ac:dyDescent="0.35">
      <c r="A86" s="1">
        <v>45698</v>
      </c>
      <c r="B86" s="1" t="str">
        <f t="shared" si="1"/>
        <v>2025-02</v>
      </c>
      <c r="C86">
        <v>2025021001</v>
      </c>
      <c r="D86" t="s">
        <v>14</v>
      </c>
      <c r="E86" t="s">
        <v>16</v>
      </c>
      <c r="F86" t="s">
        <v>187</v>
      </c>
      <c r="G86" t="str">
        <f>_xlfn.XLOOKUP(Export20251104132100[[#This Row],[Merchant]],Table3[Merchant],Table3[Category],"Unknown")</f>
        <v>Income</v>
      </c>
      <c r="H86" t="s">
        <v>72</v>
      </c>
      <c r="I86" s="15">
        <v>238.67</v>
      </c>
      <c r="J86" t="str">
        <f>IF(Export20251104132100[[#This Row],[Amount]]&gt;=0,"In","out")</f>
        <v>In</v>
      </c>
    </row>
    <row r="87" spans="1:10" x14ac:dyDescent="0.35">
      <c r="A87" s="1">
        <v>45698</v>
      </c>
      <c r="B87" s="1" t="str">
        <f t="shared" si="1"/>
        <v>2025-02</v>
      </c>
      <c r="C87">
        <v>2025021002</v>
      </c>
      <c r="D87" t="s">
        <v>14</v>
      </c>
      <c r="E87" t="s">
        <v>15</v>
      </c>
      <c r="F87" t="s">
        <v>217</v>
      </c>
      <c r="G87" t="str">
        <f>_xlfn.XLOOKUP(Export20251104132100[[#This Row],[Merchant]],Table3[Merchant],Table3[Category],"Unknown")</f>
        <v>Income</v>
      </c>
      <c r="H87" t="s">
        <v>73</v>
      </c>
      <c r="I87" s="15">
        <v>77.72</v>
      </c>
      <c r="J87" t="str">
        <f>IF(Export20251104132100[[#This Row],[Amount]]&gt;=0,"In","out")</f>
        <v>In</v>
      </c>
    </row>
    <row r="88" spans="1:10" x14ac:dyDescent="0.35">
      <c r="A88" s="1">
        <v>45702</v>
      </c>
      <c r="B88" s="1" t="str">
        <f t="shared" si="1"/>
        <v>2025-02</v>
      </c>
      <c r="C88">
        <v>2025021403</v>
      </c>
      <c r="D88" t="s">
        <v>6</v>
      </c>
      <c r="E88" t="s">
        <v>63</v>
      </c>
      <c r="F88" t="s">
        <v>192</v>
      </c>
      <c r="G88" t="str">
        <f>_xlfn.XLOOKUP(Export20251104132100[[#This Row],[Merchant]],Table3[Merchant],Table3[Category],"Unknown")</f>
        <v>Entertainment</v>
      </c>
      <c r="H88" t="s">
        <v>6</v>
      </c>
      <c r="I88" s="15">
        <v>-42.4</v>
      </c>
      <c r="J88" t="str">
        <f>IF(Export20251104132100[[#This Row],[Amount]]&gt;=0,"In","out")</f>
        <v>out</v>
      </c>
    </row>
    <row r="89" spans="1:10" x14ac:dyDescent="0.35">
      <c r="A89" s="1">
        <v>45702</v>
      </c>
      <c r="B89" s="1" t="str">
        <f t="shared" si="1"/>
        <v>2025-02</v>
      </c>
      <c r="C89">
        <v>2025021402</v>
      </c>
      <c r="D89" t="s">
        <v>6</v>
      </c>
      <c r="E89" t="s">
        <v>75</v>
      </c>
      <c r="F89" t="s">
        <v>227</v>
      </c>
      <c r="G89" t="str">
        <f>_xlfn.XLOOKUP(Export20251104132100[[#This Row],[Merchant]],Table3[Merchant],Table3[Category],"Unknown")</f>
        <v>Food &amp; dining</v>
      </c>
      <c r="H89" t="s">
        <v>6</v>
      </c>
      <c r="I89" s="15">
        <v>-18.989999999999998</v>
      </c>
      <c r="J89" t="str">
        <f>IF(Export20251104132100[[#This Row],[Amount]]&gt;=0,"In","out")</f>
        <v>out</v>
      </c>
    </row>
    <row r="90" spans="1:10" x14ac:dyDescent="0.35">
      <c r="A90" s="1">
        <v>45702</v>
      </c>
      <c r="B90" s="1" t="str">
        <f t="shared" si="1"/>
        <v>2025-02</v>
      </c>
      <c r="C90">
        <v>2025021401</v>
      </c>
      <c r="D90" t="s">
        <v>6</v>
      </c>
      <c r="E90" t="s">
        <v>74</v>
      </c>
      <c r="F90" t="s">
        <v>189</v>
      </c>
      <c r="G90" t="str">
        <f>_xlfn.XLOOKUP(Export20251104132100[[#This Row],[Merchant]],Table3[Merchant],Table3[Category],"Unknown")</f>
        <v>Groceries</v>
      </c>
      <c r="H90" t="s">
        <v>6</v>
      </c>
      <c r="I90" s="15">
        <v>-35.630000000000003</v>
      </c>
      <c r="J90" t="str">
        <f>IF(Export20251104132100[[#This Row],[Amount]]&gt;=0,"In","out")</f>
        <v>out</v>
      </c>
    </row>
    <row r="91" spans="1:10" x14ac:dyDescent="0.35">
      <c r="A91" s="1">
        <v>45704</v>
      </c>
      <c r="B91" s="1" t="str">
        <f t="shared" si="1"/>
        <v>2025-02</v>
      </c>
      <c r="C91">
        <v>2025021601</v>
      </c>
      <c r="D91" t="s">
        <v>6</v>
      </c>
      <c r="E91" t="s">
        <v>54</v>
      </c>
      <c r="F91" t="s">
        <v>235</v>
      </c>
      <c r="G91" t="str">
        <f>_xlfn.XLOOKUP(Export20251104132100[[#This Row],[Merchant]],Table3[Merchant],Table3[Category],"Unknown")</f>
        <v>Fuel</v>
      </c>
      <c r="H91" t="s">
        <v>6</v>
      </c>
      <c r="I91" s="15">
        <v>-6.9</v>
      </c>
      <c r="J91" t="str">
        <f>IF(Export20251104132100[[#This Row],[Amount]]&gt;=0,"In","out")</f>
        <v>out</v>
      </c>
    </row>
    <row r="92" spans="1:10" x14ac:dyDescent="0.35">
      <c r="A92" s="1">
        <v>45705</v>
      </c>
      <c r="B92" s="1" t="str">
        <f t="shared" si="1"/>
        <v>2025-02</v>
      </c>
      <c r="C92">
        <v>2025021701</v>
      </c>
      <c r="D92" t="s">
        <v>14</v>
      </c>
      <c r="E92" t="s">
        <v>16</v>
      </c>
      <c r="F92" t="s">
        <v>187</v>
      </c>
      <c r="G92" t="str">
        <f>_xlfn.XLOOKUP(Export20251104132100[[#This Row],[Merchant]],Table3[Merchant],Table3[Category],"Unknown")</f>
        <v>Income</v>
      </c>
      <c r="H92" t="s">
        <v>76</v>
      </c>
      <c r="I92" s="15">
        <v>238.67</v>
      </c>
      <c r="J92" t="str">
        <f>IF(Export20251104132100[[#This Row],[Amount]]&gt;=0,"In","out")</f>
        <v>In</v>
      </c>
    </row>
    <row r="93" spans="1:10" x14ac:dyDescent="0.35">
      <c r="A93" s="1">
        <v>45705</v>
      </c>
      <c r="B93" s="1" t="str">
        <f t="shared" si="1"/>
        <v>2025-02</v>
      </c>
      <c r="C93">
        <v>2025021702</v>
      </c>
      <c r="D93" t="s">
        <v>14</v>
      </c>
      <c r="E93" t="s">
        <v>15</v>
      </c>
      <c r="F93" t="s">
        <v>217</v>
      </c>
      <c r="G93" t="str">
        <f>_xlfn.XLOOKUP(Export20251104132100[[#This Row],[Merchant]],Table3[Merchant],Table3[Category],"Unknown")</f>
        <v>Income</v>
      </c>
      <c r="H93" t="s">
        <v>77</v>
      </c>
      <c r="I93" s="15">
        <v>77.72</v>
      </c>
      <c r="J93" t="str">
        <f>IF(Export20251104132100[[#This Row],[Amount]]&gt;=0,"In","out")</f>
        <v>In</v>
      </c>
    </row>
    <row r="94" spans="1:10" x14ac:dyDescent="0.35">
      <c r="A94" s="1">
        <v>45705</v>
      </c>
      <c r="B94" s="1" t="str">
        <f t="shared" si="1"/>
        <v>2025-02</v>
      </c>
      <c r="C94">
        <v>2025021703</v>
      </c>
      <c r="D94" t="s">
        <v>6</v>
      </c>
      <c r="E94" t="s">
        <v>78</v>
      </c>
      <c r="F94" t="s">
        <v>238</v>
      </c>
      <c r="G94" t="str">
        <f>_xlfn.XLOOKUP(Export20251104132100[[#This Row],[Merchant]],Table3[Merchant],Table3[Category],"Unknown")</f>
        <v>Uncategorized</v>
      </c>
      <c r="H94" t="s">
        <v>6</v>
      </c>
      <c r="I94" s="15">
        <v>-260</v>
      </c>
      <c r="J94" t="str">
        <f>IF(Export20251104132100[[#This Row],[Amount]]&gt;=0,"In","out")</f>
        <v>out</v>
      </c>
    </row>
    <row r="95" spans="1:10" x14ac:dyDescent="0.35">
      <c r="A95" s="1">
        <v>45706</v>
      </c>
      <c r="B95" s="1" t="str">
        <f t="shared" si="1"/>
        <v>2025-02</v>
      </c>
      <c r="C95">
        <v>2025021801</v>
      </c>
      <c r="D95" t="s">
        <v>6</v>
      </c>
      <c r="E95" t="s">
        <v>42</v>
      </c>
      <c r="F95" t="s">
        <v>233</v>
      </c>
      <c r="G95" t="str">
        <f>_xlfn.XLOOKUP(Export20251104132100[[#This Row],[Merchant]],Table3[Merchant],Table3[Category],"Unknown")</f>
        <v>Subscription</v>
      </c>
      <c r="H95" t="s">
        <v>6</v>
      </c>
      <c r="I95" s="15">
        <v>-10.99</v>
      </c>
      <c r="J95" t="str">
        <f>IF(Export20251104132100[[#This Row],[Amount]]&gt;=0,"In","out")</f>
        <v>out</v>
      </c>
    </row>
    <row r="96" spans="1:10" x14ac:dyDescent="0.35">
      <c r="A96" s="1">
        <v>45708</v>
      </c>
      <c r="B96" s="1" t="str">
        <f t="shared" si="1"/>
        <v>2025-02</v>
      </c>
      <c r="C96">
        <v>2025022001</v>
      </c>
      <c r="D96" t="s">
        <v>43</v>
      </c>
      <c r="E96" t="s">
        <v>44</v>
      </c>
      <c r="F96" t="s">
        <v>172</v>
      </c>
      <c r="G96" t="str">
        <f>_xlfn.XLOOKUP(Export20251104132100[[#This Row],[Merchant]],Table3[Merchant],Table3[Category],"Unknown")</f>
        <v>Utilities</v>
      </c>
      <c r="H96" t="s">
        <v>79</v>
      </c>
      <c r="I96" s="15">
        <v>-130.72</v>
      </c>
      <c r="J96" t="str">
        <f>IF(Export20251104132100[[#This Row],[Amount]]&gt;=0,"In","out")</f>
        <v>out</v>
      </c>
    </row>
    <row r="97" spans="1:10" x14ac:dyDescent="0.35">
      <c r="A97" s="1">
        <v>45710</v>
      </c>
      <c r="B97" s="1" t="str">
        <f t="shared" si="1"/>
        <v>2025-02</v>
      </c>
      <c r="C97">
        <v>2025022201</v>
      </c>
      <c r="D97" t="s">
        <v>6</v>
      </c>
      <c r="E97" t="s">
        <v>64</v>
      </c>
      <c r="F97" t="s">
        <v>236</v>
      </c>
      <c r="G97" t="str">
        <f>_xlfn.XLOOKUP(Export20251104132100[[#This Row],[Merchant]],Table3[Merchant],Table3[Category],"Unknown")</f>
        <v>Food &amp; dining</v>
      </c>
      <c r="H97" t="s">
        <v>6</v>
      </c>
      <c r="I97" s="15">
        <v>-4.6100000000000003</v>
      </c>
      <c r="J97" t="str">
        <f>IF(Export20251104132100[[#This Row],[Amount]]&gt;=0,"In","out")</f>
        <v>out</v>
      </c>
    </row>
    <row r="98" spans="1:10" x14ac:dyDescent="0.35">
      <c r="A98" s="1">
        <v>45711</v>
      </c>
      <c r="B98" s="1" t="str">
        <f t="shared" si="1"/>
        <v>2025-02</v>
      </c>
      <c r="C98">
        <v>2025022301</v>
      </c>
      <c r="D98" t="s">
        <v>6</v>
      </c>
      <c r="E98" t="s">
        <v>54</v>
      </c>
      <c r="F98" t="s">
        <v>152</v>
      </c>
      <c r="G98" t="str">
        <f>_xlfn.XLOOKUP(Export20251104132100[[#This Row],[Merchant]],Table3[Merchant],Table3[Category],"Unknown")</f>
        <v>Entertainment</v>
      </c>
      <c r="H98" t="s">
        <v>6</v>
      </c>
      <c r="I98" s="15">
        <v>-11.89</v>
      </c>
      <c r="J98" t="str">
        <f>IF(Export20251104132100[[#This Row],[Amount]]&gt;=0,"In","out")</f>
        <v>out</v>
      </c>
    </row>
    <row r="99" spans="1:10" x14ac:dyDescent="0.35">
      <c r="A99" s="1">
        <v>45713</v>
      </c>
      <c r="B99" s="1" t="str">
        <f t="shared" si="1"/>
        <v>2025-02</v>
      </c>
      <c r="C99">
        <v>2025022501</v>
      </c>
      <c r="D99" t="s">
        <v>6</v>
      </c>
      <c r="E99" t="s">
        <v>13</v>
      </c>
      <c r="F99" t="s">
        <v>152</v>
      </c>
      <c r="G99" t="str">
        <f>_xlfn.XLOOKUP(Export20251104132100[[#This Row],[Merchant]],Table3[Merchant],Table3[Category],"Unknown")</f>
        <v>Entertainment</v>
      </c>
      <c r="H99" t="s">
        <v>6</v>
      </c>
      <c r="I99" s="15">
        <v>-31.48</v>
      </c>
      <c r="J99" t="str">
        <f>IF(Export20251104132100[[#This Row],[Amount]]&gt;=0,"In","out")</f>
        <v>out</v>
      </c>
    </row>
    <row r="100" spans="1:10" x14ac:dyDescent="0.35">
      <c r="A100" s="1">
        <v>45715</v>
      </c>
      <c r="B100" s="1" t="str">
        <f t="shared" si="1"/>
        <v>2025-02</v>
      </c>
      <c r="C100">
        <v>2025022702</v>
      </c>
      <c r="D100" t="s">
        <v>6</v>
      </c>
      <c r="E100" t="s">
        <v>22</v>
      </c>
      <c r="F100" t="s">
        <v>167</v>
      </c>
      <c r="G100" t="str">
        <f>_xlfn.XLOOKUP(Export20251104132100[[#This Row],[Merchant]],Table3[Merchant],Table3[Category],"Unknown")</f>
        <v>Utilities</v>
      </c>
      <c r="H100" t="s">
        <v>6</v>
      </c>
      <c r="I100" s="15">
        <v>-0.22</v>
      </c>
      <c r="J100" t="str">
        <f>IF(Export20251104132100[[#This Row],[Amount]]&gt;=0,"In","out")</f>
        <v>out</v>
      </c>
    </row>
    <row r="101" spans="1:10" x14ac:dyDescent="0.35">
      <c r="A101" s="1">
        <v>45715</v>
      </c>
      <c r="B101" s="1" t="str">
        <f t="shared" si="1"/>
        <v>2025-02</v>
      </c>
      <c r="C101">
        <v>2025022701</v>
      </c>
      <c r="D101" t="s">
        <v>6</v>
      </c>
      <c r="E101" t="s">
        <v>80</v>
      </c>
      <c r="F101" t="s">
        <v>157</v>
      </c>
      <c r="G101" t="str">
        <f>_xlfn.XLOOKUP(Export20251104132100[[#This Row],[Merchant]],Table3[Merchant],Table3[Category],"Unknown")</f>
        <v>Uncategorized</v>
      </c>
      <c r="H101" t="s">
        <v>6</v>
      </c>
      <c r="I101" s="15">
        <v>-10.3</v>
      </c>
      <c r="J101" t="str">
        <f>IF(Export20251104132100[[#This Row],[Amount]]&gt;=0,"In","out")</f>
        <v>out</v>
      </c>
    </row>
    <row r="102" spans="1:10" x14ac:dyDescent="0.35">
      <c r="A102" s="1">
        <v>45717</v>
      </c>
      <c r="B102" s="1" t="str">
        <f t="shared" si="1"/>
        <v>2025-03</v>
      </c>
      <c r="C102">
        <v>2025030101</v>
      </c>
      <c r="D102" t="s">
        <v>6</v>
      </c>
      <c r="E102" t="s">
        <v>64</v>
      </c>
      <c r="F102" t="s">
        <v>236</v>
      </c>
      <c r="G102" t="str">
        <f>_xlfn.XLOOKUP(Export20251104132100[[#This Row],[Merchant]],Table3[Merchant],Table3[Category],"Unknown")</f>
        <v>Food &amp; dining</v>
      </c>
      <c r="H102" t="s">
        <v>6</v>
      </c>
      <c r="I102" s="15">
        <v>-4.6100000000000003</v>
      </c>
      <c r="J102" t="str">
        <f>IF(Export20251104132100[[#This Row],[Amount]]&gt;=0,"In","out")</f>
        <v>out</v>
      </c>
    </row>
    <row r="103" spans="1:10" x14ac:dyDescent="0.35">
      <c r="A103" s="1">
        <v>45717</v>
      </c>
      <c r="B103" s="1" t="str">
        <f t="shared" si="1"/>
        <v>2025-03</v>
      </c>
      <c r="C103">
        <v>2025030103</v>
      </c>
      <c r="D103" t="s">
        <v>6</v>
      </c>
      <c r="E103" t="s">
        <v>22</v>
      </c>
      <c r="F103" t="s">
        <v>167</v>
      </c>
      <c r="G103" t="str">
        <f>_xlfn.XLOOKUP(Export20251104132100[[#This Row],[Merchant]],Table3[Merchant],Table3[Category],"Unknown")</f>
        <v>Utilities</v>
      </c>
      <c r="H103" t="s">
        <v>6</v>
      </c>
      <c r="I103" s="15">
        <v>-0.56999999999999995</v>
      </c>
      <c r="J103" t="str">
        <f>IF(Export20251104132100[[#This Row],[Amount]]&gt;=0,"In","out")</f>
        <v>out</v>
      </c>
    </row>
    <row r="104" spans="1:10" x14ac:dyDescent="0.35">
      <c r="A104" s="1">
        <v>45717</v>
      </c>
      <c r="B104" s="1" t="str">
        <f t="shared" si="1"/>
        <v>2025-03</v>
      </c>
      <c r="C104">
        <v>2025030102</v>
      </c>
      <c r="D104" t="s">
        <v>6</v>
      </c>
      <c r="E104" t="s">
        <v>81</v>
      </c>
      <c r="F104" t="s">
        <v>158</v>
      </c>
      <c r="G104" t="str">
        <f>_xlfn.XLOOKUP(Export20251104132100[[#This Row],[Merchant]],Table3[Merchant],Table3[Category],"Unknown")</f>
        <v>Uncategorized</v>
      </c>
      <c r="H104" t="s">
        <v>6</v>
      </c>
      <c r="I104" s="15">
        <v>-27.24</v>
      </c>
      <c r="J104" t="str">
        <f>IF(Export20251104132100[[#This Row],[Amount]]&gt;=0,"In","out")</f>
        <v>out</v>
      </c>
    </row>
    <row r="105" spans="1:10" x14ac:dyDescent="0.35">
      <c r="A105" s="1">
        <v>45718</v>
      </c>
      <c r="B105" s="1" t="str">
        <f t="shared" si="1"/>
        <v>2025-03</v>
      </c>
      <c r="C105">
        <v>2025030201</v>
      </c>
      <c r="D105" t="s">
        <v>6</v>
      </c>
      <c r="E105" t="s">
        <v>54</v>
      </c>
      <c r="F105" t="s">
        <v>235</v>
      </c>
      <c r="G105" t="str">
        <f>_xlfn.XLOOKUP(Export20251104132100[[#This Row],[Merchant]],Table3[Merchant],Table3[Category],"Unknown")</f>
        <v>Fuel</v>
      </c>
      <c r="H105" t="s">
        <v>6</v>
      </c>
      <c r="I105" s="15">
        <v>-10.7</v>
      </c>
      <c r="J105" t="str">
        <f>IF(Export20251104132100[[#This Row],[Amount]]&gt;=0,"In","out")</f>
        <v>out</v>
      </c>
    </row>
    <row r="106" spans="1:10" x14ac:dyDescent="0.35">
      <c r="A106" s="1">
        <v>45719</v>
      </c>
      <c r="B106" s="1" t="str">
        <f t="shared" si="1"/>
        <v>2025-03</v>
      </c>
      <c r="C106">
        <v>2025030301</v>
      </c>
      <c r="D106" t="s">
        <v>6</v>
      </c>
      <c r="E106" t="s">
        <v>7</v>
      </c>
      <c r="F106" t="s">
        <v>150</v>
      </c>
      <c r="G106" t="str">
        <f>_xlfn.XLOOKUP(Export20251104132100[[#This Row],[Merchant]],Table3[Merchant],Table3[Category],"Unknown")</f>
        <v>Subscription</v>
      </c>
      <c r="H106" t="s">
        <v>6</v>
      </c>
      <c r="I106" s="15">
        <v>-27.99</v>
      </c>
      <c r="J106" t="str">
        <f>IF(Export20251104132100[[#This Row],[Amount]]&gt;=0,"In","out")</f>
        <v>out</v>
      </c>
    </row>
    <row r="107" spans="1:10" x14ac:dyDescent="0.35">
      <c r="A107" s="1">
        <v>45720</v>
      </c>
      <c r="B107" s="1" t="str">
        <f t="shared" si="1"/>
        <v>2025-03</v>
      </c>
      <c r="C107">
        <v>2025030401</v>
      </c>
      <c r="D107" t="s">
        <v>6</v>
      </c>
      <c r="E107" t="s">
        <v>82</v>
      </c>
      <c r="F107" t="s">
        <v>151</v>
      </c>
      <c r="G107" t="str">
        <f>_xlfn.XLOOKUP(Export20251104132100[[#This Row],[Merchant]],Table3[Merchant],Table3[Category],"Unknown")</f>
        <v>Subscription</v>
      </c>
      <c r="H107" t="s">
        <v>6</v>
      </c>
      <c r="I107" s="15">
        <v>-18.989999999999998</v>
      </c>
      <c r="J107" t="str">
        <f>IF(Export20251104132100[[#This Row],[Amount]]&gt;=0,"In","out")</f>
        <v>out</v>
      </c>
    </row>
    <row r="108" spans="1:10" x14ac:dyDescent="0.35">
      <c r="A108" s="1">
        <v>45721</v>
      </c>
      <c r="B108" s="1" t="str">
        <f t="shared" si="1"/>
        <v>2025-03</v>
      </c>
      <c r="C108">
        <v>2025030501</v>
      </c>
      <c r="D108" t="s">
        <v>6</v>
      </c>
      <c r="E108" t="s">
        <v>70</v>
      </c>
      <c r="F108" t="s">
        <v>237</v>
      </c>
      <c r="G108" t="str">
        <f>_xlfn.XLOOKUP(Export20251104132100[[#This Row],[Merchant]],Table3[Merchant],Table3[Category],"Unknown")</f>
        <v>Shopping</v>
      </c>
      <c r="H108" t="s">
        <v>6</v>
      </c>
      <c r="I108" s="15">
        <v>-10.58</v>
      </c>
      <c r="J108" t="str">
        <f>IF(Export20251104132100[[#This Row],[Amount]]&gt;=0,"In","out")</f>
        <v>out</v>
      </c>
    </row>
    <row r="109" spans="1:10" x14ac:dyDescent="0.35">
      <c r="A109" s="1">
        <v>45723</v>
      </c>
      <c r="B109" s="1" t="str">
        <f t="shared" si="1"/>
        <v>2025-03</v>
      </c>
      <c r="C109">
        <v>2025030702</v>
      </c>
      <c r="D109" t="s">
        <v>6</v>
      </c>
      <c r="E109" t="s">
        <v>22</v>
      </c>
      <c r="F109" t="s">
        <v>167</v>
      </c>
      <c r="G109" t="str">
        <f>_xlfn.XLOOKUP(Export20251104132100[[#This Row],[Merchant]],Table3[Merchant],Table3[Category],"Unknown")</f>
        <v>Utilities</v>
      </c>
      <c r="H109" t="s">
        <v>6</v>
      </c>
      <c r="I109" s="15">
        <v>-0.37</v>
      </c>
      <c r="J109" t="str">
        <f>IF(Export20251104132100[[#This Row],[Amount]]&gt;=0,"In","out")</f>
        <v>out</v>
      </c>
    </row>
    <row r="110" spans="1:10" x14ac:dyDescent="0.35">
      <c r="A110" s="1">
        <v>45723</v>
      </c>
      <c r="B110" s="1" t="str">
        <f t="shared" si="1"/>
        <v>2025-03</v>
      </c>
      <c r="C110">
        <v>2025030701</v>
      </c>
      <c r="D110" t="s">
        <v>6</v>
      </c>
      <c r="E110" t="s">
        <v>223</v>
      </c>
      <c r="F110" t="s">
        <v>223</v>
      </c>
      <c r="G110" t="str">
        <f>_xlfn.XLOOKUP(Export20251104132100[[#This Row],[Merchant]],Table3[Merchant],Table3[Category],"Unknown")</f>
        <v>Entertainment</v>
      </c>
      <c r="H110" t="s">
        <v>6</v>
      </c>
      <c r="I110" s="15">
        <v>-17.73</v>
      </c>
      <c r="J110" t="str">
        <f>IF(Export20251104132100[[#This Row],[Amount]]&gt;=0,"In","out")</f>
        <v>out</v>
      </c>
    </row>
    <row r="111" spans="1:10" x14ac:dyDescent="0.35">
      <c r="A111" s="1">
        <v>45728</v>
      </c>
      <c r="B111" s="1" t="str">
        <f t="shared" si="1"/>
        <v>2025-03</v>
      </c>
      <c r="C111">
        <v>2025031202</v>
      </c>
      <c r="D111" t="s">
        <v>33</v>
      </c>
      <c r="E111" t="s">
        <v>34</v>
      </c>
      <c r="F111" t="s">
        <v>170</v>
      </c>
      <c r="G111" t="str">
        <f>_xlfn.XLOOKUP(Export20251104132100[[#This Row],[Merchant]],Table3[Merchant],Table3[Category],"Unknown")</f>
        <v>Income</v>
      </c>
      <c r="H111" t="s">
        <v>35</v>
      </c>
      <c r="I111" s="15">
        <v>130</v>
      </c>
      <c r="J111" t="str">
        <f>IF(Export20251104132100[[#This Row],[Amount]]&gt;=0,"In","out")</f>
        <v>In</v>
      </c>
    </row>
    <row r="112" spans="1:10" x14ac:dyDescent="0.35">
      <c r="A112" s="1">
        <v>45728</v>
      </c>
      <c r="B112" s="1" t="str">
        <f t="shared" si="1"/>
        <v>2025-03</v>
      </c>
      <c r="C112">
        <v>2025031201</v>
      </c>
      <c r="D112" t="s">
        <v>6</v>
      </c>
      <c r="E112" t="s">
        <v>69</v>
      </c>
      <c r="F112" t="s">
        <v>190</v>
      </c>
      <c r="G112" t="str">
        <f>_xlfn.XLOOKUP(Export20251104132100[[#This Row],[Merchant]],Table3[Merchant],Table3[Category],"Unknown")</f>
        <v>Shopping</v>
      </c>
      <c r="H112" t="s">
        <v>6</v>
      </c>
      <c r="I112" s="15">
        <v>-55</v>
      </c>
      <c r="J112" t="str">
        <f>IF(Export20251104132100[[#This Row],[Amount]]&gt;=0,"In","out")</f>
        <v>out</v>
      </c>
    </row>
    <row r="113" spans="1:10" x14ac:dyDescent="0.35">
      <c r="A113" s="1">
        <v>45732</v>
      </c>
      <c r="B113" s="1" t="str">
        <f t="shared" si="1"/>
        <v>2025-03</v>
      </c>
      <c r="C113">
        <v>2025031601</v>
      </c>
      <c r="D113" t="s">
        <v>6</v>
      </c>
      <c r="E113" t="s">
        <v>54</v>
      </c>
      <c r="F113" t="s">
        <v>235</v>
      </c>
      <c r="G113" t="str">
        <f>_xlfn.XLOOKUP(Export20251104132100[[#This Row],[Merchant]],Table3[Merchant],Table3[Category],"Unknown")</f>
        <v>Fuel</v>
      </c>
      <c r="H113" t="s">
        <v>6</v>
      </c>
      <c r="I113" s="15">
        <v>-11.89</v>
      </c>
      <c r="J113" t="str">
        <f>IF(Export20251104132100[[#This Row],[Amount]]&gt;=0,"In","out")</f>
        <v>out</v>
      </c>
    </row>
    <row r="114" spans="1:10" x14ac:dyDescent="0.35">
      <c r="A114" s="1">
        <v>45734</v>
      </c>
      <c r="B114" s="1" t="str">
        <f t="shared" si="1"/>
        <v>2025-03</v>
      </c>
      <c r="C114">
        <v>2025031801</v>
      </c>
      <c r="D114" t="s">
        <v>6</v>
      </c>
      <c r="E114" t="s">
        <v>42</v>
      </c>
      <c r="F114" t="s">
        <v>233</v>
      </c>
      <c r="G114" t="str">
        <f>_xlfn.XLOOKUP(Export20251104132100[[#This Row],[Merchant]],Table3[Merchant],Table3[Category],"Unknown")</f>
        <v>Subscription</v>
      </c>
      <c r="H114" t="s">
        <v>6</v>
      </c>
      <c r="I114" s="15">
        <v>-10.99</v>
      </c>
      <c r="J114" t="str">
        <f>IF(Export20251104132100[[#This Row],[Amount]]&gt;=0,"In","out")</f>
        <v>out</v>
      </c>
    </row>
    <row r="115" spans="1:10" x14ac:dyDescent="0.35">
      <c r="A115" s="1">
        <v>45736</v>
      </c>
      <c r="B115" s="1" t="str">
        <f t="shared" si="1"/>
        <v>2025-03</v>
      </c>
      <c r="C115">
        <v>2025032001</v>
      </c>
      <c r="D115" t="s">
        <v>43</v>
      </c>
      <c r="E115" t="s">
        <v>44</v>
      </c>
      <c r="F115" t="s">
        <v>172</v>
      </c>
      <c r="G115" t="str">
        <f>_xlfn.XLOOKUP(Export20251104132100[[#This Row],[Merchant]],Table3[Merchant],Table3[Category],"Unknown")</f>
        <v>Utilities</v>
      </c>
      <c r="H115" t="s">
        <v>83</v>
      </c>
      <c r="I115" s="15">
        <v>-130.72</v>
      </c>
      <c r="J115" t="str">
        <f>IF(Export20251104132100[[#This Row],[Amount]]&gt;=0,"In","out")</f>
        <v>out</v>
      </c>
    </row>
    <row r="116" spans="1:10" x14ac:dyDescent="0.35">
      <c r="A116" s="1">
        <v>45741</v>
      </c>
      <c r="B116" s="1" t="str">
        <f t="shared" si="1"/>
        <v>2025-03</v>
      </c>
      <c r="C116">
        <v>2025032501</v>
      </c>
      <c r="D116" t="s">
        <v>6</v>
      </c>
      <c r="E116" t="s">
        <v>69</v>
      </c>
      <c r="F116" t="s">
        <v>190</v>
      </c>
      <c r="G116" t="str">
        <f>_xlfn.XLOOKUP(Export20251104132100[[#This Row],[Merchant]],Table3[Merchant],Table3[Category],"Unknown")</f>
        <v>Shopping</v>
      </c>
      <c r="H116" t="s">
        <v>6</v>
      </c>
      <c r="I116" s="15">
        <v>-31.98</v>
      </c>
      <c r="J116" t="str">
        <f>IF(Export20251104132100[[#This Row],[Amount]]&gt;=0,"In","out")</f>
        <v>out</v>
      </c>
    </row>
    <row r="117" spans="1:10" x14ac:dyDescent="0.35">
      <c r="A117" s="1">
        <v>45743</v>
      </c>
      <c r="B117" s="1" t="str">
        <f t="shared" si="1"/>
        <v>2025-03</v>
      </c>
      <c r="C117">
        <v>2025032701</v>
      </c>
      <c r="D117" t="s">
        <v>6</v>
      </c>
      <c r="E117" t="s">
        <v>13</v>
      </c>
      <c r="F117" t="s">
        <v>152</v>
      </c>
      <c r="G117" t="str">
        <f>_xlfn.XLOOKUP(Export20251104132100[[#This Row],[Merchant]],Table3[Merchant],Table3[Category],"Unknown")</f>
        <v>Entertainment</v>
      </c>
      <c r="H117" t="s">
        <v>6</v>
      </c>
      <c r="I117" s="15">
        <v>-1.99</v>
      </c>
      <c r="J117" t="str">
        <f>IF(Export20251104132100[[#This Row],[Amount]]&gt;=0,"In","out")</f>
        <v>out</v>
      </c>
    </row>
    <row r="118" spans="1:10" x14ac:dyDescent="0.35">
      <c r="A118" s="1">
        <v>45749</v>
      </c>
      <c r="B118" s="1" t="str">
        <f t="shared" si="1"/>
        <v>2025-04</v>
      </c>
      <c r="C118">
        <v>2025040202</v>
      </c>
      <c r="D118" t="s">
        <v>14</v>
      </c>
      <c r="E118" t="s">
        <v>84</v>
      </c>
      <c r="F118" t="s">
        <v>228</v>
      </c>
      <c r="G118" t="str">
        <f>_xlfn.XLOOKUP(Export20251104132100[[#This Row],[Merchant]],Table3[Merchant],Table3[Category],"Unknown")</f>
        <v>Income</v>
      </c>
      <c r="H118" t="s">
        <v>85</v>
      </c>
      <c r="I118" s="15">
        <v>130</v>
      </c>
      <c r="J118" t="str">
        <f>IF(Export20251104132100[[#This Row],[Amount]]&gt;=0,"In","out")</f>
        <v>In</v>
      </c>
    </row>
    <row r="119" spans="1:10" x14ac:dyDescent="0.35">
      <c r="A119" s="1">
        <v>45750</v>
      </c>
      <c r="B119" s="1" t="str">
        <f t="shared" si="1"/>
        <v>2025-04</v>
      </c>
      <c r="C119">
        <v>2025040301</v>
      </c>
      <c r="D119" t="s">
        <v>6</v>
      </c>
      <c r="E119" t="s">
        <v>86</v>
      </c>
      <c r="F119" t="s">
        <v>179</v>
      </c>
      <c r="G119" t="str">
        <f>_xlfn.XLOOKUP(Export20251104132100[[#This Row],[Merchant]],Table3[Merchant],Table3[Category],"Unknown")</f>
        <v>Subscription</v>
      </c>
      <c r="H119" t="s">
        <v>6</v>
      </c>
      <c r="I119" s="15">
        <v>-27.99</v>
      </c>
      <c r="J119" t="str">
        <f>IF(Export20251104132100[[#This Row],[Amount]]&gt;=0,"In","out")</f>
        <v>out</v>
      </c>
    </row>
    <row r="120" spans="1:10" x14ac:dyDescent="0.35">
      <c r="A120" s="1">
        <v>45751</v>
      </c>
      <c r="B120" s="1" t="str">
        <f t="shared" si="1"/>
        <v>2025-04</v>
      </c>
      <c r="C120">
        <v>2025040401</v>
      </c>
      <c r="D120" t="s">
        <v>6</v>
      </c>
      <c r="E120" t="s">
        <v>87</v>
      </c>
      <c r="F120" t="s">
        <v>151</v>
      </c>
      <c r="G120" t="str">
        <f>_xlfn.XLOOKUP(Export20251104132100[[#This Row],[Merchant]],Table3[Merchant],Table3[Category],"Unknown")</f>
        <v>Subscription</v>
      </c>
      <c r="H120" t="s">
        <v>6</v>
      </c>
      <c r="I120" s="15">
        <v>-18.989999999999998</v>
      </c>
      <c r="J120" t="str">
        <f>IF(Export20251104132100[[#This Row],[Amount]]&gt;=0,"In","out")</f>
        <v>out</v>
      </c>
    </row>
    <row r="121" spans="1:10" x14ac:dyDescent="0.35">
      <c r="A121" s="1">
        <v>45756</v>
      </c>
      <c r="B121" s="1" t="str">
        <f t="shared" si="1"/>
        <v>2025-04</v>
      </c>
      <c r="C121">
        <v>2025040902</v>
      </c>
      <c r="D121" t="s">
        <v>14</v>
      </c>
      <c r="E121" t="s">
        <v>84</v>
      </c>
      <c r="F121" t="s">
        <v>228</v>
      </c>
      <c r="G121" t="str">
        <f>_xlfn.XLOOKUP(Export20251104132100[[#This Row],[Merchant]],Table3[Merchant],Table3[Category],"Unknown")</f>
        <v>Income</v>
      </c>
      <c r="H121" t="s">
        <v>89</v>
      </c>
      <c r="I121" s="15">
        <v>150</v>
      </c>
      <c r="J121" t="str">
        <f>IF(Export20251104132100[[#This Row],[Amount]]&gt;=0,"In","out")</f>
        <v>In</v>
      </c>
    </row>
    <row r="122" spans="1:10" x14ac:dyDescent="0.35">
      <c r="A122" s="1">
        <v>45756</v>
      </c>
      <c r="B122" s="1" t="str">
        <f t="shared" si="1"/>
        <v>2025-04</v>
      </c>
      <c r="C122">
        <v>2025040903</v>
      </c>
      <c r="D122" t="s">
        <v>14</v>
      </c>
      <c r="E122" t="s">
        <v>90</v>
      </c>
      <c r="F122" t="s">
        <v>228</v>
      </c>
      <c r="G122" t="str">
        <f>_xlfn.XLOOKUP(Export20251104132100[[#This Row],[Merchant]],Table3[Merchant],Table3[Category],"Unknown")</f>
        <v>Income</v>
      </c>
      <c r="H122" t="s">
        <v>91</v>
      </c>
      <c r="I122" s="15">
        <v>150</v>
      </c>
      <c r="J122" t="str">
        <f>IF(Export20251104132100[[#This Row],[Amount]]&gt;=0,"In","out")</f>
        <v>In</v>
      </c>
    </row>
    <row r="123" spans="1:10" x14ac:dyDescent="0.35">
      <c r="A123" s="1">
        <v>45756</v>
      </c>
      <c r="B123" s="1" t="str">
        <f t="shared" si="1"/>
        <v>2025-04</v>
      </c>
      <c r="C123">
        <v>2025040901</v>
      </c>
      <c r="D123" t="s">
        <v>6</v>
      </c>
      <c r="E123" t="s">
        <v>88</v>
      </c>
      <c r="F123" t="s">
        <v>240</v>
      </c>
      <c r="G123" t="str">
        <f>_xlfn.XLOOKUP(Export20251104132100[[#This Row],[Merchant]],Table3[Merchant],Table3[Category],"Unknown")</f>
        <v>Food &amp; dining</v>
      </c>
      <c r="H123" t="s">
        <v>6</v>
      </c>
      <c r="I123" s="15">
        <v>-25.6</v>
      </c>
      <c r="J123" t="str">
        <f>IF(Export20251104132100[[#This Row],[Amount]]&gt;=0,"In","out")</f>
        <v>out</v>
      </c>
    </row>
    <row r="124" spans="1:10" x14ac:dyDescent="0.35">
      <c r="A124" s="1">
        <v>45759</v>
      </c>
      <c r="B124" s="1" t="str">
        <f t="shared" si="1"/>
        <v>2025-04</v>
      </c>
      <c r="C124">
        <v>2025041201</v>
      </c>
      <c r="D124" t="s">
        <v>6</v>
      </c>
      <c r="E124" t="s">
        <v>92</v>
      </c>
      <c r="F124" t="s">
        <v>229</v>
      </c>
      <c r="G124" t="str">
        <f>_xlfn.XLOOKUP(Export20251104132100[[#This Row],[Merchant]],Table3[Merchant],Table3[Category],"Unknown")</f>
        <v>Utilities</v>
      </c>
      <c r="H124" t="s">
        <v>6</v>
      </c>
      <c r="I124" s="15">
        <v>-135.84</v>
      </c>
      <c r="J124" t="str">
        <f>IF(Export20251104132100[[#This Row],[Amount]]&gt;=0,"In","out")</f>
        <v>out</v>
      </c>
    </row>
    <row r="125" spans="1:10" x14ac:dyDescent="0.35">
      <c r="A125" s="1">
        <v>45765</v>
      </c>
      <c r="B125" s="1" t="str">
        <f t="shared" si="1"/>
        <v>2025-04</v>
      </c>
      <c r="C125">
        <v>2025041801</v>
      </c>
      <c r="D125" t="s">
        <v>6</v>
      </c>
      <c r="E125" t="s">
        <v>42</v>
      </c>
      <c r="F125" t="s">
        <v>233</v>
      </c>
      <c r="G125" t="str">
        <f>_xlfn.XLOOKUP(Export20251104132100[[#This Row],[Merchant]],Table3[Merchant],Table3[Category],"Unknown")</f>
        <v>Subscription</v>
      </c>
      <c r="H125" t="s">
        <v>6</v>
      </c>
      <c r="I125" s="15">
        <v>-10.99</v>
      </c>
      <c r="J125" t="str">
        <f>IF(Export20251104132100[[#This Row],[Amount]]&gt;=0,"In","out")</f>
        <v>out</v>
      </c>
    </row>
    <row r="126" spans="1:10" x14ac:dyDescent="0.35">
      <c r="A126" s="1">
        <v>45765</v>
      </c>
      <c r="B126" s="1" t="str">
        <f t="shared" si="1"/>
        <v>2025-04</v>
      </c>
      <c r="C126">
        <v>2025041803</v>
      </c>
      <c r="D126" t="s">
        <v>6</v>
      </c>
      <c r="E126" t="s">
        <v>22</v>
      </c>
      <c r="F126" t="s">
        <v>167</v>
      </c>
      <c r="G126" t="str">
        <f>_xlfn.XLOOKUP(Export20251104132100[[#This Row],[Merchant]],Table3[Merchant],Table3[Category],"Unknown")</f>
        <v>Utilities</v>
      </c>
      <c r="H126" t="s">
        <v>6</v>
      </c>
      <c r="I126" s="15">
        <v>-0.36</v>
      </c>
      <c r="J126" t="str">
        <f>IF(Export20251104132100[[#This Row],[Amount]]&gt;=0,"In","out")</f>
        <v>out</v>
      </c>
    </row>
    <row r="127" spans="1:10" x14ac:dyDescent="0.35">
      <c r="A127" s="1">
        <v>45765</v>
      </c>
      <c r="B127" s="1" t="str">
        <f t="shared" si="1"/>
        <v>2025-04</v>
      </c>
      <c r="C127">
        <v>2025041802</v>
      </c>
      <c r="D127" t="s">
        <v>6</v>
      </c>
      <c r="E127" t="s">
        <v>223</v>
      </c>
      <c r="F127" t="s">
        <v>223</v>
      </c>
      <c r="G127" t="str">
        <f>_xlfn.XLOOKUP(Export20251104132100[[#This Row],[Merchant]],Table3[Merchant],Table3[Category],"Unknown")</f>
        <v>Entertainment</v>
      </c>
      <c r="H127" t="s">
        <v>6</v>
      </c>
      <c r="I127" s="15">
        <v>-16.98</v>
      </c>
      <c r="J127" t="str">
        <f>IF(Export20251104132100[[#This Row],[Amount]]&gt;=0,"In","out")</f>
        <v>out</v>
      </c>
    </row>
    <row r="128" spans="1:10" x14ac:dyDescent="0.35">
      <c r="A128" s="1">
        <v>45769</v>
      </c>
      <c r="B128" s="1" t="str">
        <f t="shared" si="1"/>
        <v>2025-04</v>
      </c>
      <c r="C128">
        <v>2025042201</v>
      </c>
      <c r="D128" t="s">
        <v>43</v>
      </c>
      <c r="E128" t="s">
        <v>44</v>
      </c>
      <c r="F128" t="s">
        <v>172</v>
      </c>
      <c r="G128" t="str">
        <f>_xlfn.XLOOKUP(Export20251104132100[[#This Row],[Merchant]],Table3[Merchant],Table3[Category],"Unknown")</f>
        <v>Utilities</v>
      </c>
      <c r="H128" t="s">
        <v>93</v>
      </c>
      <c r="I128" s="15">
        <v>-130.72</v>
      </c>
      <c r="J128" t="str">
        <f>IF(Export20251104132100[[#This Row],[Amount]]&gt;=0,"In","out")</f>
        <v>out</v>
      </c>
    </row>
    <row r="129" spans="1:10" x14ac:dyDescent="0.35">
      <c r="A129" s="1">
        <v>45776</v>
      </c>
      <c r="B129" s="1" t="str">
        <f t="shared" si="1"/>
        <v>2025-04</v>
      </c>
      <c r="C129">
        <v>2025042901</v>
      </c>
      <c r="D129" t="s">
        <v>6</v>
      </c>
      <c r="E129" t="s">
        <v>74</v>
      </c>
      <c r="F129" t="s">
        <v>189</v>
      </c>
      <c r="G129" t="str">
        <f>_xlfn.XLOOKUP(Export20251104132100[[#This Row],[Merchant]],Table3[Merchant],Table3[Category],"Unknown")</f>
        <v>Groceries</v>
      </c>
      <c r="H129" t="s">
        <v>6</v>
      </c>
      <c r="I129" s="15">
        <v>-15.98</v>
      </c>
      <c r="J129" t="str">
        <f>IF(Export20251104132100[[#This Row],[Amount]]&gt;=0,"In","out")</f>
        <v>out</v>
      </c>
    </row>
    <row r="130" spans="1:10" x14ac:dyDescent="0.35">
      <c r="A130" s="1">
        <v>45777</v>
      </c>
      <c r="B130" s="1" t="str">
        <f t="shared" ref="B130:B193" si="2">TEXT(A130,"yyyy-mm")</f>
        <v>2025-04</v>
      </c>
      <c r="C130">
        <v>2025043001</v>
      </c>
      <c r="D130" t="s">
        <v>19</v>
      </c>
      <c r="E130" t="s">
        <v>94</v>
      </c>
      <c r="F130" t="s">
        <v>173</v>
      </c>
      <c r="G130" t="str">
        <f>_xlfn.XLOOKUP(Export20251104132100[[#This Row],[Merchant]],Table3[Merchant],Table3[Category],"Unknown")</f>
        <v>Transfers</v>
      </c>
      <c r="H130" t="s">
        <v>95</v>
      </c>
      <c r="I130" s="15">
        <v>-15</v>
      </c>
      <c r="J130" t="str">
        <f>IF(Export20251104132100[[#This Row],[Amount]]&gt;=0,"In","out")</f>
        <v>out</v>
      </c>
    </row>
    <row r="131" spans="1:10" x14ac:dyDescent="0.35">
      <c r="A131" s="1">
        <v>45779</v>
      </c>
      <c r="B131" s="1" t="str">
        <f t="shared" si="2"/>
        <v>2025-05</v>
      </c>
      <c r="C131">
        <v>2025050201</v>
      </c>
      <c r="D131" t="s">
        <v>6</v>
      </c>
      <c r="E131" t="s">
        <v>69</v>
      </c>
      <c r="F131" t="s">
        <v>239</v>
      </c>
      <c r="G131" t="str">
        <f>_xlfn.XLOOKUP(Export20251104132100[[#This Row],[Merchant]],Table3[Merchant],Table3[Category],"Unknown")</f>
        <v>Shopping</v>
      </c>
      <c r="H131" t="s">
        <v>6</v>
      </c>
      <c r="I131" s="15">
        <v>-16.989999999999998</v>
      </c>
      <c r="J131" t="str">
        <f>IF(Export20251104132100[[#This Row],[Amount]]&gt;=0,"In","out")</f>
        <v>out</v>
      </c>
    </row>
    <row r="132" spans="1:10" x14ac:dyDescent="0.35">
      <c r="A132" s="1">
        <v>45780</v>
      </c>
      <c r="B132" s="1" t="str">
        <f t="shared" si="2"/>
        <v>2025-05</v>
      </c>
      <c r="C132">
        <v>2025050301</v>
      </c>
      <c r="D132" t="s">
        <v>6</v>
      </c>
      <c r="E132" t="s">
        <v>7</v>
      </c>
      <c r="F132" t="s">
        <v>150</v>
      </c>
      <c r="G132" t="str">
        <f>_xlfn.XLOOKUP(Export20251104132100[[#This Row],[Merchant]],Table3[Merchant],Table3[Category],"Unknown")</f>
        <v>Subscription</v>
      </c>
      <c r="H132" t="s">
        <v>6</v>
      </c>
      <c r="I132" s="15">
        <v>-27.99</v>
      </c>
      <c r="J132" t="str">
        <f>IF(Export20251104132100[[#This Row],[Amount]]&gt;=0,"In","out")</f>
        <v>out</v>
      </c>
    </row>
    <row r="133" spans="1:10" x14ac:dyDescent="0.35">
      <c r="A133" s="1">
        <v>45781</v>
      </c>
      <c r="B133" s="1" t="str">
        <f t="shared" si="2"/>
        <v>2025-05</v>
      </c>
      <c r="C133">
        <v>2025050401</v>
      </c>
      <c r="D133" t="s">
        <v>6</v>
      </c>
      <c r="E133" t="s">
        <v>96</v>
      </c>
      <c r="F133" t="s">
        <v>151</v>
      </c>
      <c r="G133" t="str">
        <f>_xlfn.XLOOKUP(Export20251104132100[[#This Row],[Merchant]],Table3[Merchant],Table3[Category],"Unknown")</f>
        <v>Subscription</v>
      </c>
      <c r="H133" t="s">
        <v>6</v>
      </c>
      <c r="I133" s="15">
        <v>-18.989999999999998</v>
      </c>
      <c r="J133" t="str">
        <f>IF(Export20251104132100[[#This Row],[Amount]]&gt;=0,"In","out")</f>
        <v>out</v>
      </c>
    </row>
    <row r="134" spans="1:10" x14ac:dyDescent="0.35">
      <c r="A134" s="1">
        <v>45795</v>
      </c>
      <c r="B134" s="1" t="str">
        <f t="shared" si="2"/>
        <v>2025-05</v>
      </c>
      <c r="C134">
        <v>2025051801</v>
      </c>
      <c r="D134" t="s">
        <v>6</v>
      </c>
      <c r="E134" t="s">
        <v>42</v>
      </c>
      <c r="F134" t="s">
        <v>233</v>
      </c>
      <c r="G134" t="str">
        <f>_xlfn.XLOOKUP(Export20251104132100[[#This Row],[Merchant]],Table3[Merchant],Table3[Category],"Unknown")</f>
        <v>Subscription</v>
      </c>
      <c r="H134" t="s">
        <v>6</v>
      </c>
      <c r="I134" s="15">
        <v>-10.99</v>
      </c>
      <c r="J134" t="str">
        <f>IF(Export20251104132100[[#This Row],[Amount]]&gt;=0,"In","out")</f>
        <v>out</v>
      </c>
    </row>
    <row r="135" spans="1:10" x14ac:dyDescent="0.35">
      <c r="A135" s="1">
        <v>45795</v>
      </c>
      <c r="B135" s="1" t="str">
        <f t="shared" si="2"/>
        <v>2025-05</v>
      </c>
      <c r="C135">
        <v>2025051803</v>
      </c>
      <c r="D135" t="s">
        <v>6</v>
      </c>
      <c r="E135" t="s">
        <v>22</v>
      </c>
      <c r="F135" t="s">
        <v>167</v>
      </c>
      <c r="G135" t="str">
        <f>_xlfn.XLOOKUP(Export20251104132100[[#This Row],[Merchant]],Table3[Merchant],Table3[Category],"Unknown")</f>
        <v>Utilities</v>
      </c>
      <c r="H135" t="s">
        <v>6</v>
      </c>
      <c r="I135" s="15">
        <v>-0.36</v>
      </c>
      <c r="J135" t="str">
        <f>IF(Export20251104132100[[#This Row],[Amount]]&gt;=0,"In","out")</f>
        <v>out</v>
      </c>
    </row>
    <row r="136" spans="1:10" x14ac:dyDescent="0.35">
      <c r="A136" s="1">
        <v>45795</v>
      </c>
      <c r="B136" s="1" t="str">
        <f t="shared" si="2"/>
        <v>2025-05</v>
      </c>
      <c r="C136">
        <v>2025051802</v>
      </c>
      <c r="D136" t="s">
        <v>6</v>
      </c>
      <c r="E136" t="s">
        <v>223</v>
      </c>
      <c r="F136" t="s">
        <v>223</v>
      </c>
      <c r="G136" t="str">
        <f>_xlfn.XLOOKUP(Export20251104132100[[#This Row],[Merchant]],Table3[Merchant],Table3[Category],"Unknown")</f>
        <v>Entertainment</v>
      </c>
      <c r="H136" t="s">
        <v>6</v>
      </c>
      <c r="I136" s="15">
        <v>-17.05</v>
      </c>
      <c r="J136" t="str">
        <f>IF(Export20251104132100[[#This Row],[Amount]]&gt;=0,"In","out")</f>
        <v>out</v>
      </c>
    </row>
    <row r="137" spans="1:10" x14ac:dyDescent="0.35">
      <c r="A137" s="1">
        <v>45797</v>
      </c>
      <c r="B137" s="1" t="str">
        <f t="shared" si="2"/>
        <v>2025-05</v>
      </c>
      <c r="C137">
        <v>2025052001</v>
      </c>
      <c r="D137" t="s">
        <v>43</v>
      </c>
      <c r="E137" t="s">
        <v>44</v>
      </c>
      <c r="F137" t="s">
        <v>172</v>
      </c>
      <c r="G137" t="str">
        <f>_xlfn.XLOOKUP(Export20251104132100[[#This Row],[Merchant]],Table3[Merchant],Table3[Category],"Unknown")</f>
        <v>Utilities</v>
      </c>
      <c r="H137" t="s">
        <v>97</v>
      </c>
      <c r="I137" s="15">
        <v>-130.72</v>
      </c>
      <c r="J137" t="str">
        <f>IF(Export20251104132100[[#This Row],[Amount]]&gt;=0,"In","out")</f>
        <v>out</v>
      </c>
    </row>
    <row r="138" spans="1:10" x14ac:dyDescent="0.35">
      <c r="A138" s="1">
        <v>45800</v>
      </c>
      <c r="B138" s="1" t="str">
        <f t="shared" si="2"/>
        <v>2025-05</v>
      </c>
      <c r="C138">
        <v>2025052301</v>
      </c>
      <c r="D138" t="s">
        <v>6</v>
      </c>
      <c r="E138" t="s">
        <v>53</v>
      </c>
      <c r="F138" t="s">
        <v>190</v>
      </c>
      <c r="G138" t="str">
        <f>_xlfn.XLOOKUP(Export20251104132100[[#This Row],[Merchant]],Table3[Merchant],Table3[Category],"Unknown")</f>
        <v>Shopping</v>
      </c>
      <c r="H138" t="s">
        <v>6</v>
      </c>
      <c r="I138" s="15">
        <v>-18.989999999999998</v>
      </c>
      <c r="J138" t="str">
        <f>IF(Export20251104132100[[#This Row],[Amount]]&gt;=0,"In","out")</f>
        <v>out</v>
      </c>
    </row>
    <row r="139" spans="1:10" x14ac:dyDescent="0.35">
      <c r="A139" s="1">
        <v>45800</v>
      </c>
      <c r="B139" s="1" t="str">
        <f t="shared" si="2"/>
        <v>2025-05</v>
      </c>
      <c r="C139">
        <v>2025052303</v>
      </c>
      <c r="D139" t="s">
        <v>14</v>
      </c>
      <c r="E139" t="s">
        <v>84</v>
      </c>
      <c r="F139" t="s">
        <v>228</v>
      </c>
      <c r="G139" t="str">
        <f>_xlfn.XLOOKUP(Export20251104132100[[#This Row],[Merchant]],Table3[Merchant],Table3[Category],"Unknown")</f>
        <v>Income</v>
      </c>
      <c r="H139" t="s">
        <v>98</v>
      </c>
      <c r="I139" s="15">
        <v>150</v>
      </c>
      <c r="J139" t="str">
        <f>IF(Export20251104132100[[#This Row],[Amount]]&gt;=0,"In","out")</f>
        <v>In</v>
      </c>
    </row>
    <row r="140" spans="1:10" x14ac:dyDescent="0.35">
      <c r="A140" s="1">
        <v>45805</v>
      </c>
      <c r="B140" s="1" t="str">
        <f t="shared" si="2"/>
        <v>2025-05</v>
      </c>
      <c r="C140">
        <v>2025052801</v>
      </c>
      <c r="D140" t="s">
        <v>6</v>
      </c>
      <c r="E140" t="s">
        <v>99</v>
      </c>
      <c r="F140" t="s">
        <v>193</v>
      </c>
      <c r="G140" t="str">
        <f>_xlfn.XLOOKUP(Export20251104132100[[#This Row],[Merchant]],Table3[Merchant],Table3[Category],"Unknown")</f>
        <v>Shopping</v>
      </c>
      <c r="H140" t="s">
        <v>6</v>
      </c>
      <c r="I140" s="15">
        <v>-5</v>
      </c>
      <c r="J140" t="str">
        <f>IF(Export20251104132100[[#This Row],[Amount]]&gt;=0,"In","out")</f>
        <v>out</v>
      </c>
    </row>
    <row r="141" spans="1:10" x14ac:dyDescent="0.35">
      <c r="A141" s="1">
        <v>45807</v>
      </c>
      <c r="B141" s="1" t="str">
        <f t="shared" si="2"/>
        <v>2025-05</v>
      </c>
      <c r="C141">
        <v>2025053001</v>
      </c>
      <c r="D141" t="s">
        <v>6</v>
      </c>
      <c r="E141" t="s">
        <v>74</v>
      </c>
      <c r="F141" t="s">
        <v>189</v>
      </c>
      <c r="G141" t="str">
        <f>_xlfn.XLOOKUP(Export20251104132100[[#This Row],[Merchant]],Table3[Merchant],Table3[Category],"Unknown")</f>
        <v>Groceries</v>
      </c>
      <c r="H141" t="s">
        <v>6</v>
      </c>
      <c r="I141" s="15">
        <v>-13.28</v>
      </c>
      <c r="J141" t="str">
        <f>IF(Export20251104132100[[#This Row],[Amount]]&gt;=0,"In","out")</f>
        <v>out</v>
      </c>
    </row>
    <row r="142" spans="1:10" x14ac:dyDescent="0.35">
      <c r="A142" s="1">
        <v>45811</v>
      </c>
      <c r="B142" s="1" t="str">
        <f t="shared" si="2"/>
        <v>2025-06</v>
      </c>
      <c r="C142">
        <v>2025060301</v>
      </c>
      <c r="D142" t="s">
        <v>6</v>
      </c>
      <c r="E142" t="s">
        <v>7</v>
      </c>
      <c r="F142" t="s">
        <v>150</v>
      </c>
      <c r="G142" t="str">
        <f>_xlfn.XLOOKUP(Export20251104132100[[#This Row],[Merchant]],Table3[Merchant],Table3[Category],"Unknown")</f>
        <v>Subscription</v>
      </c>
      <c r="H142" t="s">
        <v>6</v>
      </c>
      <c r="I142" s="15">
        <v>-33.99</v>
      </c>
      <c r="J142" t="str">
        <f>IF(Export20251104132100[[#This Row],[Amount]]&gt;=0,"In","out")</f>
        <v>out</v>
      </c>
    </row>
    <row r="143" spans="1:10" x14ac:dyDescent="0.35">
      <c r="A143" s="1">
        <v>45811</v>
      </c>
      <c r="B143" s="1" t="str">
        <f t="shared" si="2"/>
        <v>2025-06</v>
      </c>
      <c r="C143">
        <v>2025060302</v>
      </c>
      <c r="D143" t="s">
        <v>6</v>
      </c>
      <c r="E143" t="s">
        <v>100</v>
      </c>
      <c r="F143" t="s">
        <v>189</v>
      </c>
      <c r="G143" t="str">
        <f>_xlfn.XLOOKUP(Export20251104132100[[#This Row],[Merchant]],Table3[Merchant],Table3[Category],"Unknown")</f>
        <v>Groceries</v>
      </c>
      <c r="H143" t="s">
        <v>6</v>
      </c>
      <c r="I143" s="15">
        <v>-23.76</v>
      </c>
      <c r="J143" t="str">
        <f>IF(Export20251104132100[[#This Row],[Amount]]&gt;=0,"In","out")</f>
        <v>out</v>
      </c>
    </row>
    <row r="144" spans="1:10" x14ac:dyDescent="0.35">
      <c r="A144" s="1">
        <v>45815</v>
      </c>
      <c r="B144" s="1" t="str">
        <f t="shared" si="2"/>
        <v>2025-06</v>
      </c>
      <c r="C144">
        <v>2025060701</v>
      </c>
      <c r="D144" t="s">
        <v>6</v>
      </c>
      <c r="E144" t="s">
        <v>101</v>
      </c>
      <c r="F144" t="s">
        <v>159</v>
      </c>
      <c r="G144" t="str">
        <f>_xlfn.XLOOKUP(Export20251104132100[[#This Row],[Merchant]],Table3[Merchant],Table3[Category],"Unknown")</f>
        <v>Fees &amp; Charges</v>
      </c>
      <c r="H144" t="s">
        <v>6</v>
      </c>
      <c r="I144" s="15">
        <v>-10</v>
      </c>
      <c r="J144" t="str">
        <f>IF(Export20251104132100[[#This Row],[Amount]]&gt;=0,"In","out")</f>
        <v>out</v>
      </c>
    </row>
    <row r="145" spans="1:10" x14ac:dyDescent="0.35">
      <c r="A145" s="1">
        <v>45817</v>
      </c>
      <c r="B145" s="1" t="str">
        <f t="shared" si="2"/>
        <v>2025-06</v>
      </c>
      <c r="C145">
        <v>2025060901</v>
      </c>
      <c r="D145" t="s">
        <v>14</v>
      </c>
      <c r="E145" t="s">
        <v>102</v>
      </c>
      <c r="F145" t="s">
        <v>160</v>
      </c>
      <c r="G145" t="str">
        <f>_xlfn.XLOOKUP(Export20251104132100[[#This Row],[Merchant]],Table3[Merchant],Table3[Category],"Unknown")</f>
        <v>Income</v>
      </c>
      <c r="H145" t="s">
        <v>103</v>
      </c>
      <c r="I145" s="15">
        <v>555.70000000000005</v>
      </c>
      <c r="J145" t="str">
        <f>IF(Export20251104132100[[#This Row],[Amount]]&gt;=0,"In","out")</f>
        <v>In</v>
      </c>
    </row>
    <row r="146" spans="1:10" x14ac:dyDescent="0.35">
      <c r="A146" s="1">
        <v>45817</v>
      </c>
      <c r="B146" s="1" t="str">
        <f t="shared" si="2"/>
        <v>2025-06</v>
      </c>
      <c r="C146">
        <v>2025060902</v>
      </c>
      <c r="D146" t="s">
        <v>6</v>
      </c>
      <c r="E146" t="s">
        <v>104</v>
      </c>
      <c r="F146" t="s">
        <v>180</v>
      </c>
      <c r="G146" t="str">
        <f>_xlfn.XLOOKUP(Export20251104132100[[#This Row],[Merchant]],Table3[Merchant],Table3[Category],"Unknown")</f>
        <v>Uncategorized</v>
      </c>
      <c r="H146" t="s">
        <v>6</v>
      </c>
      <c r="I146" s="15">
        <v>-170.57</v>
      </c>
      <c r="J146" t="str">
        <f>IF(Export20251104132100[[#This Row],[Amount]]&gt;=0,"In","out")</f>
        <v>out</v>
      </c>
    </row>
    <row r="147" spans="1:10" x14ac:dyDescent="0.35">
      <c r="A147" s="1">
        <v>45819</v>
      </c>
      <c r="B147" s="1" t="str">
        <f t="shared" si="2"/>
        <v>2025-06</v>
      </c>
      <c r="C147">
        <v>2025061101</v>
      </c>
      <c r="D147" t="s">
        <v>6</v>
      </c>
      <c r="E147" t="s">
        <v>74</v>
      </c>
      <c r="F147" t="s">
        <v>189</v>
      </c>
      <c r="G147" t="str">
        <f>_xlfn.XLOOKUP(Export20251104132100[[#This Row],[Merchant]],Table3[Merchant],Table3[Category],"Unknown")</f>
        <v>Groceries</v>
      </c>
      <c r="H147" t="s">
        <v>6</v>
      </c>
      <c r="I147" s="15">
        <v>-27.15</v>
      </c>
      <c r="J147" t="str">
        <f>IF(Export20251104132100[[#This Row],[Amount]]&gt;=0,"In","out")</f>
        <v>out</v>
      </c>
    </row>
    <row r="148" spans="1:10" x14ac:dyDescent="0.35">
      <c r="A148" s="1">
        <v>45826</v>
      </c>
      <c r="B148" s="1" t="str">
        <f t="shared" si="2"/>
        <v>2025-06</v>
      </c>
      <c r="C148">
        <v>2025061801</v>
      </c>
      <c r="D148" t="s">
        <v>6</v>
      </c>
      <c r="E148" t="s">
        <v>42</v>
      </c>
      <c r="F148" t="s">
        <v>233</v>
      </c>
      <c r="G148" t="str">
        <f>_xlfn.XLOOKUP(Export20251104132100[[#This Row],[Merchant]],Table3[Merchant],Table3[Category],"Unknown")</f>
        <v>Subscription</v>
      </c>
      <c r="H148" t="s">
        <v>6</v>
      </c>
      <c r="I148" s="15">
        <v>-10.99</v>
      </c>
      <c r="J148" t="str">
        <f>IF(Export20251104132100[[#This Row],[Amount]]&gt;=0,"In","out")</f>
        <v>out</v>
      </c>
    </row>
    <row r="149" spans="1:10" x14ac:dyDescent="0.35">
      <c r="A149" s="1">
        <v>45826</v>
      </c>
      <c r="B149" s="1" t="str">
        <f t="shared" si="2"/>
        <v>2025-06</v>
      </c>
      <c r="C149">
        <v>2025061802</v>
      </c>
      <c r="D149" t="s">
        <v>6</v>
      </c>
      <c r="E149" t="s">
        <v>74</v>
      </c>
      <c r="F149" t="s">
        <v>189</v>
      </c>
      <c r="G149" t="str">
        <f>_xlfn.XLOOKUP(Export20251104132100[[#This Row],[Merchant]],Table3[Merchant],Table3[Category],"Unknown")</f>
        <v>Groceries</v>
      </c>
      <c r="H149" t="s">
        <v>6</v>
      </c>
      <c r="I149" s="15">
        <v>-31.45</v>
      </c>
      <c r="J149" t="str">
        <f>IF(Export20251104132100[[#This Row],[Amount]]&gt;=0,"In","out")</f>
        <v>out</v>
      </c>
    </row>
    <row r="150" spans="1:10" x14ac:dyDescent="0.35">
      <c r="A150" s="1">
        <v>45829</v>
      </c>
      <c r="B150" s="1" t="str">
        <f t="shared" si="2"/>
        <v>2025-06</v>
      </c>
      <c r="C150">
        <v>2025062101</v>
      </c>
      <c r="D150" t="s">
        <v>6</v>
      </c>
      <c r="E150" t="s">
        <v>17</v>
      </c>
      <c r="F150" t="s">
        <v>222</v>
      </c>
      <c r="G150" t="str">
        <f>_xlfn.XLOOKUP(Export20251104132100[[#This Row],[Merchant]],Table3[Merchant],Table3[Category],"Unknown")</f>
        <v>Grooming</v>
      </c>
      <c r="H150" t="s">
        <v>6</v>
      </c>
      <c r="I150" s="15">
        <v>-35.880000000000003</v>
      </c>
      <c r="J150" t="str">
        <f>IF(Export20251104132100[[#This Row],[Amount]]&gt;=0,"In","out")</f>
        <v>out</v>
      </c>
    </row>
    <row r="151" spans="1:10" x14ac:dyDescent="0.35">
      <c r="A151" s="1">
        <v>45829</v>
      </c>
      <c r="B151" s="1" t="str">
        <f t="shared" si="2"/>
        <v>2025-06</v>
      </c>
      <c r="C151">
        <v>2025062102</v>
      </c>
      <c r="D151" t="s">
        <v>6</v>
      </c>
      <c r="E151" t="s">
        <v>105</v>
      </c>
      <c r="F151" t="s">
        <v>230</v>
      </c>
      <c r="G151" t="str">
        <f>_xlfn.XLOOKUP(Export20251104132100[[#This Row],[Merchant]],Table3[Merchant],Table3[Category],"Unknown")</f>
        <v>Groceries</v>
      </c>
      <c r="H151" t="s">
        <v>6</v>
      </c>
      <c r="I151" s="15">
        <v>-10.83</v>
      </c>
      <c r="J151" t="str">
        <f>IF(Export20251104132100[[#This Row],[Amount]]&gt;=0,"In","out")</f>
        <v>out</v>
      </c>
    </row>
    <row r="152" spans="1:10" x14ac:dyDescent="0.35">
      <c r="A152" s="1">
        <v>45831</v>
      </c>
      <c r="B152" s="1" t="str">
        <f t="shared" si="2"/>
        <v>2025-06</v>
      </c>
      <c r="C152">
        <v>2025062301</v>
      </c>
      <c r="D152" t="s">
        <v>43</v>
      </c>
      <c r="E152" t="s">
        <v>44</v>
      </c>
      <c r="F152" t="s">
        <v>172</v>
      </c>
      <c r="G152" t="str">
        <f>_xlfn.XLOOKUP(Export20251104132100[[#This Row],[Merchant]],Table3[Merchant],Table3[Category],"Unknown")</f>
        <v>Utilities</v>
      </c>
      <c r="H152" t="s">
        <v>106</v>
      </c>
      <c r="I152" s="15">
        <v>-130.72</v>
      </c>
      <c r="J152" t="str">
        <f>IF(Export20251104132100[[#This Row],[Amount]]&gt;=0,"In","out")</f>
        <v>out</v>
      </c>
    </row>
    <row r="153" spans="1:10" x14ac:dyDescent="0.35">
      <c r="A153" s="1">
        <v>45833</v>
      </c>
      <c r="B153" s="1" t="str">
        <f t="shared" si="2"/>
        <v>2025-06</v>
      </c>
      <c r="C153">
        <v>2025062501</v>
      </c>
      <c r="D153" t="s">
        <v>14</v>
      </c>
      <c r="E153" t="s">
        <v>84</v>
      </c>
      <c r="F153" t="s">
        <v>228</v>
      </c>
      <c r="G153" t="str">
        <f>_xlfn.XLOOKUP(Export20251104132100[[#This Row],[Merchant]],Table3[Merchant],Table3[Category],"Unknown")</f>
        <v>Income</v>
      </c>
      <c r="H153" t="s">
        <v>107</v>
      </c>
      <c r="I153" s="15">
        <v>130</v>
      </c>
      <c r="J153" t="str">
        <f>IF(Export20251104132100[[#This Row],[Amount]]&gt;=0,"In","out")</f>
        <v>In</v>
      </c>
    </row>
    <row r="154" spans="1:10" x14ac:dyDescent="0.35">
      <c r="A154" s="1">
        <v>45834</v>
      </c>
      <c r="B154" s="1" t="str">
        <f t="shared" si="2"/>
        <v>2025-06</v>
      </c>
      <c r="C154">
        <v>2025062601</v>
      </c>
      <c r="D154" t="s">
        <v>6</v>
      </c>
      <c r="E154" t="s">
        <v>49</v>
      </c>
      <c r="F154" t="s">
        <v>234</v>
      </c>
      <c r="G154" t="str">
        <f>_xlfn.XLOOKUP(Export20251104132100[[#This Row],[Merchant]],Table3[Merchant],Table3[Category],"Unknown")</f>
        <v>Healthcare</v>
      </c>
      <c r="H154" t="s">
        <v>6</v>
      </c>
      <c r="I154" s="15">
        <v>-19.89</v>
      </c>
      <c r="J154" t="str">
        <f>IF(Export20251104132100[[#This Row],[Amount]]&gt;=0,"In","out")</f>
        <v>out</v>
      </c>
    </row>
    <row r="155" spans="1:10" x14ac:dyDescent="0.35">
      <c r="A155" s="1">
        <v>45837</v>
      </c>
      <c r="B155" s="1" t="str">
        <f t="shared" si="2"/>
        <v>2025-06</v>
      </c>
      <c r="C155">
        <v>2025062902</v>
      </c>
      <c r="D155" t="s">
        <v>6</v>
      </c>
      <c r="E155" t="s">
        <v>22</v>
      </c>
      <c r="F155" t="s">
        <v>167</v>
      </c>
      <c r="G155" t="str">
        <f>_xlfn.XLOOKUP(Export20251104132100[[#This Row],[Merchant]],Table3[Merchant],Table3[Category],"Unknown")</f>
        <v>Utilities</v>
      </c>
      <c r="H155" t="s">
        <v>6</v>
      </c>
      <c r="I155" s="15">
        <v>-0.35</v>
      </c>
      <c r="J155" t="str">
        <f>IF(Export20251104132100[[#This Row],[Amount]]&gt;=0,"In","out")</f>
        <v>out</v>
      </c>
    </row>
    <row r="156" spans="1:10" x14ac:dyDescent="0.35">
      <c r="A156" s="1">
        <v>45837</v>
      </c>
      <c r="B156" s="1" t="str">
        <f t="shared" si="2"/>
        <v>2025-06</v>
      </c>
      <c r="C156">
        <v>2025062901</v>
      </c>
      <c r="D156" t="s">
        <v>6</v>
      </c>
      <c r="E156" t="s">
        <v>223</v>
      </c>
      <c r="F156" t="s">
        <v>223</v>
      </c>
      <c r="G156" t="str">
        <f>_xlfn.XLOOKUP(Export20251104132100[[#This Row],[Merchant]],Table3[Merchant],Table3[Category],"Unknown")</f>
        <v>Entertainment</v>
      </c>
      <c r="H156" t="s">
        <v>6</v>
      </c>
      <c r="I156" s="15">
        <v>-16.55</v>
      </c>
      <c r="J156" t="str">
        <f>IF(Export20251104132100[[#This Row],[Amount]]&gt;=0,"In","out")</f>
        <v>out</v>
      </c>
    </row>
    <row r="157" spans="1:10" x14ac:dyDescent="0.35">
      <c r="A157" s="1">
        <v>45840</v>
      </c>
      <c r="B157" s="1" t="str">
        <f t="shared" si="2"/>
        <v>2025-07</v>
      </c>
      <c r="C157">
        <v>2025070202</v>
      </c>
      <c r="D157" t="s">
        <v>6</v>
      </c>
      <c r="E157" t="s">
        <v>22</v>
      </c>
      <c r="F157" t="s">
        <v>167</v>
      </c>
      <c r="G157" t="str">
        <f>_xlfn.XLOOKUP(Export20251104132100[[#This Row],[Merchant]],Table3[Merchant],Table3[Category],"Unknown")</f>
        <v>Utilities</v>
      </c>
      <c r="H157" t="s">
        <v>6</v>
      </c>
      <c r="I157" s="15">
        <v>-0.04</v>
      </c>
      <c r="J157" t="str">
        <f>IF(Export20251104132100[[#This Row],[Amount]]&gt;=0,"In","out")</f>
        <v>out</v>
      </c>
    </row>
    <row r="158" spans="1:10" x14ac:dyDescent="0.35">
      <c r="A158" s="1">
        <v>45840</v>
      </c>
      <c r="B158" s="1" t="str">
        <f t="shared" si="2"/>
        <v>2025-07</v>
      </c>
      <c r="C158">
        <v>2025070201</v>
      </c>
      <c r="D158" t="s">
        <v>6</v>
      </c>
      <c r="E158" t="s">
        <v>108</v>
      </c>
      <c r="F158" t="s">
        <v>161</v>
      </c>
      <c r="G158" t="str">
        <f>_xlfn.XLOOKUP(Export20251104132100[[#This Row],[Merchant]],Table3[Merchant],Table3[Category],"Unknown")</f>
        <v>Education</v>
      </c>
      <c r="H158" t="s">
        <v>6</v>
      </c>
      <c r="I158" s="15">
        <v>-2.0699999999999998</v>
      </c>
      <c r="J158" t="str">
        <f>IF(Export20251104132100[[#This Row],[Amount]]&gt;=0,"In","out")</f>
        <v>out</v>
      </c>
    </row>
    <row r="159" spans="1:10" x14ac:dyDescent="0.35">
      <c r="A159" s="1">
        <v>45842</v>
      </c>
      <c r="B159" s="1" t="str">
        <f t="shared" si="2"/>
        <v>2025-07</v>
      </c>
      <c r="C159">
        <v>2025070402</v>
      </c>
      <c r="D159" t="s">
        <v>14</v>
      </c>
      <c r="E159" t="s">
        <v>109</v>
      </c>
      <c r="F159" t="s">
        <v>162</v>
      </c>
      <c r="G159" t="str">
        <f>_xlfn.XLOOKUP(Export20251104132100[[#This Row],[Merchant]],Table3[Merchant],Table3[Category],"Unknown")</f>
        <v>Uncategorized</v>
      </c>
      <c r="H159" t="s">
        <v>110</v>
      </c>
      <c r="I159" s="16">
        <v>2.0499999999999998</v>
      </c>
      <c r="J159" t="str">
        <f>IF(Export20251104132100[[#This Row],[Amount]]&gt;=0,"In","out")</f>
        <v>In</v>
      </c>
    </row>
    <row r="160" spans="1:10" x14ac:dyDescent="0.35">
      <c r="A160" s="1">
        <v>45842</v>
      </c>
      <c r="B160" s="1" t="str">
        <f t="shared" si="2"/>
        <v>2025-07</v>
      </c>
      <c r="C160">
        <v>2025070401</v>
      </c>
      <c r="D160" t="s">
        <v>6</v>
      </c>
      <c r="E160" t="s">
        <v>74</v>
      </c>
      <c r="F160" t="s">
        <v>189</v>
      </c>
      <c r="G160" t="str">
        <f>_xlfn.XLOOKUP(Export20251104132100[[#This Row],[Merchant]],Table3[Merchant],Table3[Category],"Unknown")</f>
        <v>Groceries</v>
      </c>
      <c r="H160" t="s">
        <v>6</v>
      </c>
      <c r="I160" s="15">
        <v>-18.07</v>
      </c>
      <c r="J160" t="str">
        <f>IF(Export20251104132100[[#This Row],[Amount]]&gt;=0,"In","out")</f>
        <v>out</v>
      </c>
    </row>
    <row r="161" spans="1:10" x14ac:dyDescent="0.35">
      <c r="A161" s="1">
        <v>45851</v>
      </c>
      <c r="B161" s="1" t="str">
        <f t="shared" si="2"/>
        <v>2025-07</v>
      </c>
      <c r="C161">
        <v>2025071301</v>
      </c>
      <c r="D161" t="s">
        <v>6</v>
      </c>
      <c r="E161" t="s">
        <v>111</v>
      </c>
      <c r="F161" t="s">
        <v>220</v>
      </c>
      <c r="G161" t="str">
        <f>_xlfn.XLOOKUP(Export20251104132100[[#This Row],[Merchant]],Table3[Merchant],Table3[Category],"Unknown")</f>
        <v>Transport</v>
      </c>
      <c r="H161" t="s">
        <v>6</v>
      </c>
      <c r="I161" s="15">
        <v>-2.8</v>
      </c>
      <c r="J161" t="str">
        <f>IF(Export20251104132100[[#This Row],[Amount]]&gt;=0,"In","out")</f>
        <v>out</v>
      </c>
    </row>
    <row r="162" spans="1:10" x14ac:dyDescent="0.35">
      <c r="A162" s="1">
        <v>45853</v>
      </c>
      <c r="B162" s="1" t="str">
        <f t="shared" si="2"/>
        <v>2025-07</v>
      </c>
      <c r="C162">
        <v>2025071501</v>
      </c>
      <c r="D162" t="s">
        <v>6</v>
      </c>
      <c r="E162" t="s">
        <v>42</v>
      </c>
      <c r="F162" t="s">
        <v>233</v>
      </c>
      <c r="G162" t="str">
        <f>_xlfn.XLOOKUP(Export20251104132100[[#This Row],[Merchant]],Table3[Merchant],Table3[Category],"Unknown")</f>
        <v>Subscription</v>
      </c>
      <c r="H162" t="s">
        <v>6</v>
      </c>
      <c r="I162" s="15">
        <v>-0.99</v>
      </c>
      <c r="J162" t="str">
        <f>IF(Export20251104132100[[#This Row],[Amount]]&gt;=0,"In","out")</f>
        <v>out</v>
      </c>
    </row>
    <row r="163" spans="1:10" x14ac:dyDescent="0.35">
      <c r="A163" s="1">
        <v>45856</v>
      </c>
      <c r="B163" s="1" t="str">
        <f t="shared" si="2"/>
        <v>2025-07</v>
      </c>
      <c r="C163">
        <v>2025071801</v>
      </c>
      <c r="D163" t="s">
        <v>6</v>
      </c>
      <c r="E163" t="s">
        <v>42</v>
      </c>
      <c r="F163" t="s">
        <v>233</v>
      </c>
      <c r="G163" t="str">
        <f>_xlfn.XLOOKUP(Export20251104132100[[#This Row],[Merchant]],Table3[Merchant],Table3[Category],"Unknown")</f>
        <v>Subscription</v>
      </c>
      <c r="H163" t="s">
        <v>6</v>
      </c>
      <c r="I163" s="15">
        <v>-10.99</v>
      </c>
      <c r="J163" t="str">
        <f>IF(Export20251104132100[[#This Row],[Amount]]&gt;=0,"In","out")</f>
        <v>out</v>
      </c>
    </row>
    <row r="164" spans="1:10" x14ac:dyDescent="0.35">
      <c r="A164" s="1">
        <v>45859</v>
      </c>
      <c r="B164" s="1" t="str">
        <f t="shared" si="2"/>
        <v>2025-07</v>
      </c>
      <c r="C164">
        <v>2025072101</v>
      </c>
      <c r="D164" t="s">
        <v>43</v>
      </c>
      <c r="E164" t="s">
        <v>44</v>
      </c>
      <c r="F164" t="s">
        <v>172</v>
      </c>
      <c r="G164" t="str">
        <f>_xlfn.XLOOKUP(Export20251104132100[[#This Row],[Merchant]],Table3[Merchant],Table3[Category],"Unknown")</f>
        <v>Utilities</v>
      </c>
      <c r="H164" t="s">
        <v>112</v>
      </c>
      <c r="I164" s="15">
        <v>-130.72</v>
      </c>
      <c r="J164" t="str">
        <f>IF(Export20251104132100[[#This Row],[Amount]]&gt;=0,"In","out")</f>
        <v>out</v>
      </c>
    </row>
    <row r="165" spans="1:10" x14ac:dyDescent="0.35">
      <c r="A165" s="1">
        <v>45866</v>
      </c>
      <c r="B165" s="1" t="str">
        <f t="shared" si="2"/>
        <v>2025-07</v>
      </c>
      <c r="C165">
        <v>2025072801</v>
      </c>
      <c r="D165" t="s">
        <v>33</v>
      </c>
      <c r="E165" t="s">
        <v>34</v>
      </c>
      <c r="F165" t="s">
        <v>170</v>
      </c>
      <c r="G165" t="str">
        <f>_xlfn.XLOOKUP(Export20251104132100[[#This Row],[Merchant]],Table3[Merchant],Table3[Category],"Unknown")</f>
        <v>Income</v>
      </c>
      <c r="H165" t="s">
        <v>35</v>
      </c>
      <c r="I165" s="15">
        <v>675</v>
      </c>
      <c r="J165" t="str">
        <f>IF(Export20251104132100[[#This Row],[Amount]]&gt;=0,"In","out")</f>
        <v>In</v>
      </c>
    </row>
    <row r="166" spans="1:10" x14ac:dyDescent="0.35">
      <c r="A166" s="1">
        <v>45866</v>
      </c>
      <c r="B166" s="1" t="str">
        <f t="shared" si="2"/>
        <v>2025-07</v>
      </c>
      <c r="C166">
        <v>2025072804</v>
      </c>
      <c r="D166" t="s">
        <v>6</v>
      </c>
      <c r="E166" t="s">
        <v>22</v>
      </c>
      <c r="F166" t="s">
        <v>167</v>
      </c>
      <c r="G166" t="str">
        <f>_xlfn.XLOOKUP(Export20251104132100[[#This Row],[Merchant]],Table3[Merchant],Table3[Category],"Unknown")</f>
        <v>Utilities</v>
      </c>
      <c r="H166" t="s">
        <v>6</v>
      </c>
      <c r="I166" s="15">
        <v>-0.35</v>
      </c>
      <c r="J166" t="str">
        <f>IF(Export20251104132100[[#This Row],[Amount]]&gt;=0,"In","out")</f>
        <v>out</v>
      </c>
    </row>
    <row r="167" spans="1:10" x14ac:dyDescent="0.35">
      <c r="A167" s="1">
        <v>45866</v>
      </c>
      <c r="B167" s="1" t="str">
        <f t="shared" si="2"/>
        <v>2025-07</v>
      </c>
      <c r="C167">
        <v>2025072803</v>
      </c>
      <c r="D167" t="s">
        <v>6</v>
      </c>
      <c r="E167" t="s">
        <v>223</v>
      </c>
      <c r="F167" t="s">
        <v>223</v>
      </c>
      <c r="G167" t="str">
        <f>_xlfn.XLOOKUP(Export20251104132100[[#This Row],[Merchant]],Table3[Merchant],Table3[Category],"Unknown")</f>
        <v>Entertainment</v>
      </c>
      <c r="H167" t="s">
        <v>6</v>
      </c>
      <c r="I167" s="15">
        <v>-16.66</v>
      </c>
      <c r="J167" t="str">
        <f>IF(Export20251104132100[[#This Row],[Amount]]&gt;=0,"In","out")</f>
        <v>out</v>
      </c>
    </row>
    <row r="168" spans="1:10" x14ac:dyDescent="0.35">
      <c r="A168" s="1">
        <v>45871</v>
      </c>
      <c r="B168" s="1" t="str">
        <f t="shared" si="2"/>
        <v>2025-08</v>
      </c>
      <c r="C168">
        <v>2025080201</v>
      </c>
      <c r="D168" t="s">
        <v>6</v>
      </c>
      <c r="E168" t="s">
        <v>69</v>
      </c>
      <c r="F168" t="s">
        <v>241</v>
      </c>
      <c r="G168" t="str">
        <f>_xlfn.XLOOKUP(Export20251104132100[[#This Row],[Merchant]],Table3[Merchant],Table3[Category],"Unknown")</f>
        <v>Shopping</v>
      </c>
      <c r="H168" t="s">
        <v>6</v>
      </c>
      <c r="I168" s="15">
        <v>-27.58</v>
      </c>
      <c r="J168" t="str">
        <f>IF(Export20251104132100[[#This Row],[Amount]]&gt;=0,"In","out")</f>
        <v>out</v>
      </c>
    </row>
    <row r="169" spans="1:10" x14ac:dyDescent="0.35">
      <c r="A169" s="1">
        <v>45875</v>
      </c>
      <c r="B169" s="1" t="str">
        <f t="shared" si="2"/>
        <v>2025-08</v>
      </c>
      <c r="C169">
        <v>2025080601</v>
      </c>
      <c r="D169" t="s">
        <v>6</v>
      </c>
      <c r="E169" t="s">
        <v>113</v>
      </c>
      <c r="F169" t="s">
        <v>194</v>
      </c>
      <c r="G169" t="str">
        <f>_xlfn.XLOOKUP(Export20251104132100[[#This Row],[Merchant]],Table3[Merchant],Table3[Category],"Unknown")</f>
        <v>Utilities</v>
      </c>
      <c r="H169" t="s">
        <v>6</v>
      </c>
      <c r="I169" s="15">
        <v>-470.2</v>
      </c>
      <c r="J169" t="str">
        <f>IF(Export20251104132100[[#This Row],[Amount]]&gt;=0,"In","out")</f>
        <v>out</v>
      </c>
    </row>
    <row r="170" spans="1:10" x14ac:dyDescent="0.35">
      <c r="A170" s="1">
        <v>45884</v>
      </c>
      <c r="B170" s="1" t="str">
        <f t="shared" si="2"/>
        <v>2025-08</v>
      </c>
      <c r="C170">
        <v>2025081501</v>
      </c>
      <c r="D170" t="s">
        <v>6</v>
      </c>
      <c r="E170" t="s">
        <v>42</v>
      </c>
      <c r="F170" t="s">
        <v>233</v>
      </c>
      <c r="G170" t="str">
        <f>_xlfn.XLOOKUP(Export20251104132100[[#This Row],[Merchant]],Table3[Merchant],Table3[Category],"Unknown")</f>
        <v>Subscription</v>
      </c>
      <c r="H170" t="s">
        <v>6</v>
      </c>
      <c r="I170" s="15">
        <v>-0.99</v>
      </c>
      <c r="J170" t="str">
        <f>IF(Export20251104132100[[#This Row],[Amount]]&gt;=0,"In","out")</f>
        <v>out</v>
      </c>
    </row>
    <row r="171" spans="1:10" x14ac:dyDescent="0.35">
      <c r="A171" s="1">
        <v>45888</v>
      </c>
      <c r="B171" s="1" t="str">
        <f t="shared" si="2"/>
        <v>2025-08</v>
      </c>
      <c r="C171">
        <v>2025081902</v>
      </c>
      <c r="D171" t="s">
        <v>6</v>
      </c>
      <c r="E171" t="s">
        <v>42</v>
      </c>
      <c r="F171" t="s">
        <v>233</v>
      </c>
      <c r="G171" t="str">
        <f>_xlfn.XLOOKUP(Export20251104132100[[#This Row],[Merchant]],Table3[Merchant],Table3[Category],"Unknown")</f>
        <v>Subscription</v>
      </c>
      <c r="H171" t="s">
        <v>6</v>
      </c>
      <c r="I171" s="15">
        <v>-10.99</v>
      </c>
      <c r="J171" t="str">
        <f>IF(Export20251104132100[[#This Row],[Amount]]&gt;=0,"In","out")</f>
        <v>out</v>
      </c>
    </row>
    <row r="172" spans="1:10" x14ac:dyDescent="0.35">
      <c r="A172" s="1">
        <v>45888</v>
      </c>
      <c r="B172" s="1" t="str">
        <f t="shared" si="2"/>
        <v>2025-08</v>
      </c>
      <c r="C172">
        <v>2025081903</v>
      </c>
      <c r="D172" t="s">
        <v>33</v>
      </c>
      <c r="E172" t="s">
        <v>34</v>
      </c>
      <c r="F172" t="s">
        <v>170</v>
      </c>
      <c r="G172" t="str">
        <f>_xlfn.XLOOKUP(Export20251104132100[[#This Row],[Merchant]],Table3[Merchant],Table3[Category],"Unknown")</f>
        <v>Income</v>
      </c>
      <c r="H172" t="s">
        <v>35</v>
      </c>
      <c r="I172" s="15">
        <v>215</v>
      </c>
      <c r="J172" t="str">
        <f>IF(Export20251104132100[[#This Row],[Amount]]&gt;=0,"In","out")</f>
        <v>In</v>
      </c>
    </row>
    <row r="173" spans="1:10" x14ac:dyDescent="0.35">
      <c r="A173" s="1">
        <v>45888</v>
      </c>
      <c r="B173" s="1" t="str">
        <f t="shared" si="2"/>
        <v>2025-08</v>
      </c>
      <c r="C173">
        <v>2025081901</v>
      </c>
      <c r="D173" t="s">
        <v>6</v>
      </c>
      <c r="E173" t="s">
        <v>49</v>
      </c>
      <c r="F173" t="s">
        <v>234</v>
      </c>
      <c r="G173" t="str">
        <f>_xlfn.XLOOKUP(Export20251104132100[[#This Row],[Merchant]],Table3[Merchant],Table3[Category],"Unknown")</f>
        <v>Healthcare</v>
      </c>
      <c r="H173" t="s">
        <v>6</v>
      </c>
      <c r="I173" s="15">
        <v>-19.89</v>
      </c>
      <c r="J173" t="str">
        <f>IF(Export20251104132100[[#This Row],[Amount]]&gt;=0,"In","out")</f>
        <v>out</v>
      </c>
    </row>
    <row r="174" spans="1:10" x14ac:dyDescent="0.35">
      <c r="A174" s="1">
        <v>45889</v>
      </c>
      <c r="B174" s="1" t="str">
        <f t="shared" si="2"/>
        <v>2025-08</v>
      </c>
      <c r="C174">
        <v>2025082001</v>
      </c>
      <c r="D174" t="s">
        <v>6</v>
      </c>
      <c r="E174" t="s">
        <v>114</v>
      </c>
      <c r="F174" t="s">
        <v>181</v>
      </c>
      <c r="G174" t="str">
        <f>_xlfn.XLOOKUP(Export20251104132100[[#This Row],[Merchant]],Table3[Merchant],Table3[Category],"Unknown")</f>
        <v>Shopping</v>
      </c>
      <c r="H174" t="s">
        <v>6</v>
      </c>
      <c r="I174" s="15">
        <v>-102</v>
      </c>
      <c r="J174" t="str">
        <f>IF(Export20251104132100[[#This Row],[Amount]]&gt;=0,"In","out")</f>
        <v>out</v>
      </c>
    </row>
    <row r="175" spans="1:10" x14ac:dyDescent="0.35">
      <c r="A175" s="1">
        <v>45890</v>
      </c>
      <c r="B175" s="1" t="str">
        <f t="shared" si="2"/>
        <v>2025-08</v>
      </c>
      <c r="C175">
        <v>2025082101</v>
      </c>
      <c r="D175" t="s">
        <v>43</v>
      </c>
      <c r="E175" t="s">
        <v>44</v>
      </c>
      <c r="F175" t="s">
        <v>172</v>
      </c>
      <c r="G175" t="str">
        <f>_xlfn.XLOOKUP(Export20251104132100[[#This Row],[Merchant]],Table3[Merchant],Table3[Category],"Unknown")</f>
        <v>Utilities</v>
      </c>
      <c r="H175" t="s">
        <v>115</v>
      </c>
      <c r="I175" s="15">
        <v>-155.47</v>
      </c>
      <c r="J175" t="str">
        <f>IF(Export20251104132100[[#This Row],[Amount]]&gt;=0,"In","out")</f>
        <v>out</v>
      </c>
    </row>
    <row r="176" spans="1:10" x14ac:dyDescent="0.35">
      <c r="A176" s="1">
        <v>45894</v>
      </c>
      <c r="B176" s="1" t="str">
        <f t="shared" si="2"/>
        <v>2025-08</v>
      </c>
      <c r="C176">
        <v>2025082501</v>
      </c>
      <c r="D176" t="s">
        <v>14</v>
      </c>
      <c r="E176" t="s">
        <v>116</v>
      </c>
      <c r="F176" t="s">
        <v>228</v>
      </c>
      <c r="G176" t="str">
        <f>_xlfn.XLOOKUP(Export20251104132100[[#This Row],[Merchant]],Table3[Merchant],Table3[Category],"Unknown")</f>
        <v>Income</v>
      </c>
      <c r="H176" t="s">
        <v>117</v>
      </c>
      <c r="I176" s="15">
        <v>312.5</v>
      </c>
      <c r="J176" t="str">
        <f>IF(Export20251104132100[[#This Row],[Amount]]&gt;=0,"In","out")</f>
        <v>In</v>
      </c>
    </row>
    <row r="177" spans="1:10" x14ac:dyDescent="0.35">
      <c r="A177" s="1">
        <v>45897</v>
      </c>
      <c r="B177" s="1" t="str">
        <f t="shared" si="2"/>
        <v>2025-08</v>
      </c>
      <c r="C177">
        <v>2025082802</v>
      </c>
      <c r="D177" t="s">
        <v>6</v>
      </c>
      <c r="E177" t="s">
        <v>22</v>
      </c>
      <c r="F177" t="s">
        <v>167</v>
      </c>
      <c r="G177" t="str">
        <f>_xlfn.XLOOKUP(Export20251104132100[[#This Row],[Merchant]],Table3[Merchant],Table3[Category],"Unknown")</f>
        <v>Utilities</v>
      </c>
      <c r="H177" t="s">
        <v>6</v>
      </c>
      <c r="I177" s="15">
        <v>-0.36</v>
      </c>
      <c r="J177" t="str">
        <f>IF(Export20251104132100[[#This Row],[Amount]]&gt;=0,"In","out")</f>
        <v>out</v>
      </c>
    </row>
    <row r="178" spans="1:10" x14ac:dyDescent="0.35">
      <c r="A178" s="1">
        <v>45897</v>
      </c>
      <c r="B178" s="1" t="str">
        <f t="shared" si="2"/>
        <v>2025-08</v>
      </c>
      <c r="C178">
        <v>2025082801</v>
      </c>
      <c r="D178" t="s">
        <v>6</v>
      </c>
      <c r="E178" t="s">
        <v>223</v>
      </c>
      <c r="F178" t="s">
        <v>223</v>
      </c>
      <c r="G178" t="str">
        <f>_xlfn.XLOOKUP(Export20251104132100[[#This Row],[Merchant]],Table3[Merchant],Table3[Category],"Unknown")</f>
        <v>Entertainment</v>
      </c>
      <c r="H178" t="s">
        <v>6</v>
      </c>
      <c r="I178" s="15">
        <v>-17.14</v>
      </c>
      <c r="J178" t="str">
        <f>IF(Export20251104132100[[#This Row],[Amount]]&gt;=0,"In","out")</f>
        <v>out</v>
      </c>
    </row>
    <row r="179" spans="1:10" x14ac:dyDescent="0.35">
      <c r="A179" s="1">
        <v>45898</v>
      </c>
      <c r="B179" s="1" t="str">
        <f t="shared" si="2"/>
        <v>2025-08</v>
      </c>
      <c r="C179">
        <v>2025082901</v>
      </c>
      <c r="D179" t="s">
        <v>6</v>
      </c>
      <c r="E179" t="s">
        <v>118</v>
      </c>
      <c r="F179" t="s">
        <v>163</v>
      </c>
      <c r="G179" t="str">
        <f>_xlfn.XLOOKUP(Export20251104132100[[#This Row],[Merchant]],Table3[Merchant],Table3[Category],"Unknown")</f>
        <v>Shopping</v>
      </c>
      <c r="H179" t="s">
        <v>6</v>
      </c>
      <c r="I179" s="15">
        <v>-50.97</v>
      </c>
      <c r="J179" t="str">
        <f>IF(Export20251104132100[[#This Row],[Amount]]&gt;=0,"In","out")</f>
        <v>out</v>
      </c>
    </row>
    <row r="180" spans="1:10" x14ac:dyDescent="0.35">
      <c r="A180" s="1">
        <v>45899</v>
      </c>
      <c r="B180" s="1" t="str">
        <f t="shared" si="2"/>
        <v>2025-08</v>
      </c>
      <c r="C180">
        <v>2025083001</v>
      </c>
      <c r="D180" t="s">
        <v>6</v>
      </c>
      <c r="E180" t="s">
        <v>119</v>
      </c>
      <c r="F180" t="s">
        <v>151</v>
      </c>
      <c r="G180" t="str">
        <f>_xlfn.XLOOKUP(Export20251104132100[[#This Row],[Merchant]],Table3[Merchant],Table3[Category],"Unknown")</f>
        <v>Subscription</v>
      </c>
      <c r="H180" t="s">
        <v>6</v>
      </c>
      <c r="I180" s="15">
        <v>-9.49</v>
      </c>
      <c r="J180" t="str">
        <f>IF(Export20251104132100[[#This Row],[Amount]]&gt;=0,"In","out")</f>
        <v>out</v>
      </c>
    </row>
    <row r="181" spans="1:10" x14ac:dyDescent="0.35">
      <c r="A181" s="1">
        <v>45901</v>
      </c>
      <c r="B181" s="1" t="str">
        <f t="shared" si="2"/>
        <v>2025-09</v>
      </c>
      <c r="C181">
        <v>2025090101</v>
      </c>
      <c r="D181" t="s">
        <v>14</v>
      </c>
      <c r="E181" t="s">
        <v>116</v>
      </c>
      <c r="F181" t="s">
        <v>228</v>
      </c>
      <c r="G181" t="str">
        <f>_xlfn.XLOOKUP(Export20251104132100[[#This Row],[Merchant]],Table3[Merchant],Table3[Category],"Unknown")</f>
        <v>Income</v>
      </c>
      <c r="H181" t="s">
        <v>120</v>
      </c>
      <c r="I181" s="15">
        <v>212.5</v>
      </c>
      <c r="J181" t="str">
        <f>IF(Export20251104132100[[#This Row],[Amount]]&gt;=0,"In","out")</f>
        <v>In</v>
      </c>
    </row>
    <row r="182" spans="1:10" x14ac:dyDescent="0.35">
      <c r="A182" s="1">
        <v>45901</v>
      </c>
      <c r="B182" s="1" t="str">
        <f t="shared" si="2"/>
        <v>2025-09</v>
      </c>
      <c r="C182">
        <v>2025090102</v>
      </c>
      <c r="D182" t="s">
        <v>14</v>
      </c>
      <c r="E182" t="s">
        <v>121</v>
      </c>
      <c r="F182" t="s">
        <v>195</v>
      </c>
      <c r="G182" t="str">
        <f>_xlfn.XLOOKUP(Export20251104132100[[#This Row],[Merchant]],Table3[Merchant],Table3[Category],"Unknown")</f>
        <v>Income</v>
      </c>
      <c r="H182" t="s">
        <v>122</v>
      </c>
      <c r="I182" s="15">
        <v>104.36</v>
      </c>
      <c r="J182" t="str">
        <f>IF(Export20251104132100[[#This Row],[Amount]]&gt;=0,"In","out")</f>
        <v>In</v>
      </c>
    </row>
    <row r="183" spans="1:10" x14ac:dyDescent="0.35">
      <c r="A183" s="1">
        <v>45907</v>
      </c>
      <c r="B183" s="1" t="str">
        <f t="shared" si="2"/>
        <v>2025-09</v>
      </c>
      <c r="C183">
        <v>2025090702</v>
      </c>
      <c r="D183" t="s">
        <v>6</v>
      </c>
      <c r="E183" t="s">
        <v>69</v>
      </c>
      <c r="F183" t="s">
        <v>190</v>
      </c>
      <c r="G183" t="str">
        <f>_xlfn.XLOOKUP(Export20251104132100[[#This Row],[Merchant]],Table3[Merchant],Table3[Category],"Unknown")</f>
        <v>Shopping</v>
      </c>
      <c r="H183" t="s">
        <v>6</v>
      </c>
      <c r="I183" s="15">
        <v>-32.979999999999997</v>
      </c>
      <c r="J183" t="str">
        <f>IF(Export20251104132100[[#This Row],[Amount]]&gt;=0,"In","out")</f>
        <v>out</v>
      </c>
    </row>
    <row r="184" spans="1:10" x14ac:dyDescent="0.35">
      <c r="A184" s="1">
        <v>45907</v>
      </c>
      <c r="B184" s="1" t="str">
        <f t="shared" si="2"/>
        <v>2025-09</v>
      </c>
      <c r="C184">
        <v>2025090701</v>
      </c>
      <c r="D184" t="s">
        <v>6</v>
      </c>
      <c r="E184" t="s">
        <v>123</v>
      </c>
      <c r="F184" t="s">
        <v>182</v>
      </c>
      <c r="G184" t="str">
        <f>_xlfn.XLOOKUP(Export20251104132100[[#This Row],[Merchant]],Table3[Merchant],Table3[Category],"Unknown")</f>
        <v>Shopping</v>
      </c>
      <c r="H184" t="s">
        <v>6</v>
      </c>
      <c r="I184" s="15">
        <v>-35.99</v>
      </c>
      <c r="J184" t="str">
        <f>IF(Export20251104132100[[#This Row],[Amount]]&gt;=0,"In","out")</f>
        <v>out</v>
      </c>
    </row>
    <row r="185" spans="1:10" x14ac:dyDescent="0.35">
      <c r="A185" s="1">
        <v>45909</v>
      </c>
      <c r="B185" s="1" t="str">
        <f t="shared" si="2"/>
        <v>2025-09</v>
      </c>
      <c r="C185">
        <v>2025090901</v>
      </c>
      <c r="D185" t="s">
        <v>14</v>
      </c>
      <c r="E185" t="s">
        <v>116</v>
      </c>
      <c r="F185" t="s">
        <v>228</v>
      </c>
      <c r="G185" t="str">
        <f>_xlfn.XLOOKUP(Export20251104132100[[#This Row],[Merchant]],Table3[Merchant],Table3[Category],"Unknown")</f>
        <v>Income</v>
      </c>
      <c r="H185" t="s">
        <v>124</v>
      </c>
      <c r="I185" s="15">
        <v>210</v>
      </c>
      <c r="J185" t="str">
        <f>IF(Export20251104132100[[#This Row],[Amount]]&gt;=0,"In","out")</f>
        <v>In</v>
      </c>
    </row>
    <row r="186" spans="1:10" x14ac:dyDescent="0.35">
      <c r="A186" s="1">
        <v>45912</v>
      </c>
      <c r="B186" s="1" t="str">
        <f t="shared" si="2"/>
        <v>2025-09</v>
      </c>
      <c r="C186">
        <v>2025091201</v>
      </c>
      <c r="D186" t="s">
        <v>6</v>
      </c>
      <c r="E186" t="s">
        <v>118</v>
      </c>
      <c r="F186" t="s">
        <v>163</v>
      </c>
      <c r="G186" t="str">
        <f>_xlfn.XLOOKUP(Export20251104132100[[#This Row],[Merchant]],Table3[Merchant],Table3[Category],"Unknown")</f>
        <v>Shopping</v>
      </c>
      <c r="H186" t="s">
        <v>6</v>
      </c>
      <c r="I186" s="15">
        <v>-55.97</v>
      </c>
      <c r="J186" t="str">
        <f>IF(Export20251104132100[[#This Row],[Amount]]&gt;=0,"In","out")</f>
        <v>out</v>
      </c>
    </row>
    <row r="187" spans="1:10" x14ac:dyDescent="0.35">
      <c r="A187" s="1">
        <v>45913</v>
      </c>
      <c r="B187" s="1" t="str">
        <f t="shared" si="2"/>
        <v>2025-09</v>
      </c>
      <c r="C187">
        <v>2025091301</v>
      </c>
      <c r="D187" t="s">
        <v>6</v>
      </c>
      <c r="E187" t="s">
        <v>125</v>
      </c>
      <c r="F187" t="s">
        <v>183</v>
      </c>
      <c r="G187" t="str">
        <f>_xlfn.XLOOKUP(Export20251104132100[[#This Row],[Merchant]],Table3[Merchant],Table3[Category],"Unknown")</f>
        <v>Utilities</v>
      </c>
      <c r="H187" t="s">
        <v>6</v>
      </c>
      <c r="I187" s="15">
        <v>-10</v>
      </c>
      <c r="J187" t="str">
        <f>IF(Export20251104132100[[#This Row],[Amount]]&gt;=0,"In","out")</f>
        <v>out</v>
      </c>
    </row>
    <row r="188" spans="1:10" x14ac:dyDescent="0.35">
      <c r="A188" s="1">
        <v>45915</v>
      </c>
      <c r="B188" s="1" t="str">
        <f t="shared" si="2"/>
        <v>2025-09</v>
      </c>
      <c r="C188">
        <v>2025091501</v>
      </c>
      <c r="D188" t="s">
        <v>14</v>
      </c>
      <c r="E188" t="s">
        <v>116</v>
      </c>
      <c r="F188" t="s">
        <v>228</v>
      </c>
      <c r="G188" t="str">
        <f>_xlfn.XLOOKUP(Export20251104132100[[#This Row],[Merchant]],Table3[Merchant],Table3[Category],"Unknown")</f>
        <v>Income</v>
      </c>
      <c r="H188" t="s">
        <v>126</v>
      </c>
      <c r="I188" s="15">
        <v>315</v>
      </c>
      <c r="J188" t="str">
        <f>IF(Export20251104132100[[#This Row],[Amount]]&gt;=0,"In","out")</f>
        <v>In</v>
      </c>
    </row>
    <row r="189" spans="1:10" x14ac:dyDescent="0.35">
      <c r="A189" s="1">
        <v>45919</v>
      </c>
      <c r="B189" s="1" t="str">
        <f t="shared" si="2"/>
        <v>2025-09</v>
      </c>
      <c r="C189">
        <v>2025091901</v>
      </c>
      <c r="D189" t="s">
        <v>6</v>
      </c>
      <c r="E189" t="s">
        <v>17</v>
      </c>
      <c r="F189" t="s">
        <v>222</v>
      </c>
      <c r="G189" t="str">
        <f>_xlfn.XLOOKUP(Export20251104132100[[#This Row],[Merchant]],Table3[Merchant],Table3[Category],"Unknown")</f>
        <v>Grooming</v>
      </c>
      <c r="H189" t="s">
        <v>6</v>
      </c>
      <c r="I189" s="15">
        <v>-35.880000000000003</v>
      </c>
      <c r="J189" t="str">
        <f>IF(Export20251104132100[[#This Row],[Amount]]&gt;=0,"In","out")</f>
        <v>out</v>
      </c>
    </row>
    <row r="190" spans="1:10" x14ac:dyDescent="0.35">
      <c r="A190" s="1">
        <v>45922</v>
      </c>
      <c r="B190" s="1" t="str">
        <f t="shared" si="2"/>
        <v>2025-09</v>
      </c>
      <c r="C190">
        <v>2025092201</v>
      </c>
      <c r="D190" t="s">
        <v>14</v>
      </c>
      <c r="E190" t="s">
        <v>116</v>
      </c>
      <c r="F190" t="s">
        <v>228</v>
      </c>
      <c r="G190" t="str">
        <f>_xlfn.XLOOKUP(Export20251104132100[[#This Row],[Merchant]],Table3[Merchant],Table3[Category],"Unknown")</f>
        <v>Income</v>
      </c>
      <c r="H190" t="s">
        <v>127</v>
      </c>
      <c r="I190" s="15">
        <v>315</v>
      </c>
      <c r="J190" t="str">
        <f>IF(Export20251104132100[[#This Row],[Amount]]&gt;=0,"In","out")</f>
        <v>In</v>
      </c>
    </row>
    <row r="191" spans="1:10" x14ac:dyDescent="0.35">
      <c r="A191" s="1">
        <v>45923</v>
      </c>
      <c r="B191" s="1" t="str">
        <f t="shared" si="2"/>
        <v>2025-09</v>
      </c>
      <c r="C191">
        <v>2025092301</v>
      </c>
      <c r="D191" t="s">
        <v>6</v>
      </c>
      <c r="E191" t="s">
        <v>69</v>
      </c>
      <c r="F191" t="s">
        <v>190</v>
      </c>
      <c r="G191" t="str">
        <f>_xlfn.XLOOKUP(Export20251104132100[[#This Row],[Merchant]],Table3[Merchant],Table3[Category],"Unknown")</f>
        <v>Shopping</v>
      </c>
      <c r="H191" t="s">
        <v>6</v>
      </c>
      <c r="I191" s="15">
        <v>-28.98</v>
      </c>
      <c r="J191" t="str">
        <f>IF(Export20251104132100[[#This Row],[Amount]]&gt;=0,"In","out")</f>
        <v>out</v>
      </c>
    </row>
    <row r="192" spans="1:10" x14ac:dyDescent="0.35">
      <c r="A192" s="1">
        <v>45926</v>
      </c>
      <c r="B192" s="1" t="str">
        <f t="shared" si="2"/>
        <v>2025-09</v>
      </c>
      <c r="C192">
        <v>2025092601</v>
      </c>
      <c r="D192" t="s">
        <v>6</v>
      </c>
      <c r="E192" t="s">
        <v>128</v>
      </c>
      <c r="F192" t="s">
        <v>196</v>
      </c>
      <c r="G192" t="str">
        <f>_xlfn.XLOOKUP(Export20251104132100[[#This Row],[Merchant]],Table3[Merchant],Table3[Category],"Unknown")</f>
        <v>Groceries</v>
      </c>
      <c r="H192" t="s">
        <v>6</v>
      </c>
      <c r="I192" s="15">
        <v>-79.58</v>
      </c>
      <c r="J192" t="str">
        <f>IF(Export20251104132100[[#This Row],[Amount]]&gt;=0,"In","out")</f>
        <v>out</v>
      </c>
    </row>
    <row r="193" spans="1:10" x14ac:dyDescent="0.35">
      <c r="A193" s="1">
        <v>45927</v>
      </c>
      <c r="B193" s="1" t="str">
        <f t="shared" si="2"/>
        <v>2025-09</v>
      </c>
      <c r="C193">
        <v>2025092701</v>
      </c>
      <c r="D193" t="s">
        <v>6</v>
      </c>
      <c r="E193" t="s">
        <v>129</v>
      </c>
      <c r="F193" t="s">
        <v>235</v>
      </c>
      <c r="G193" t="str">
        <f>_xlfn.XLOOKUP(Export20251104132100[[#This Row],[Merchant]],Table3[Merchant],Table3[Category],"Unknown")</f>
        <v>Fuel</v>
      </c>
      <c r="H193" t="s">
        <v>6</v>
      </c>
      <c r="I193" s="15">
        <v>-64.040000000000006</v>
      </c>
      <c r="J193" t="str">
        <f>IF(Export20251104132100[[#This Row],[Amount]]&gt;=0,"In","out")</f>
        <v>out</v>
      </c>
    </row>
    <row r="194" spans="1:10" x14ac:dyDescent="0.35">
      <c r="A194" s="1">
        <v>45936</v>
      </c>
      <c r="B194" s="1" t="str">
        <f t="shared" ref="B194:B220" si="3">TEXT(A194,"yyyy-mm")</f>
        <v>2025-10</v>
      </c>
      <c r="C194">
        <v>2025100601</v>
      </c>
      <c r="D194" t="s">
        <v>14</v>
      </c>
      <c r="E194" t="s">
        <v>116</v>
      </c>
      <c r="F194" t="s">
        <v>228</v>
      </c>
      <c r="G194" t="str">
        <f>_xlfn.XLOOKUP(Export20251104132100[[#This Row],[Merchant]],Table3[Merchant],Table3[Category],"Unknown")</f>
        <v>Income</v>
      </c>
      <c r="H194" t="s">
        <v>130</v>
      </c>
      <c r="I194" s="15">
        <v>214</v>
      </c>
      <c r="J194" t="str">
        <f>IF(Export20251104132100[[#This Row],[Amount]]&gt;=0,"In","out")</f>
        <v>In</v>
      </c>
    </row>
    <row r="195" spans="1:10" x14ac:dyDescent="0.35">
      <c r="A195" s="1">
        <v>45936</v>
      </c>
      <c r="B195" s="1" t="str">
        <f t="shared" si="3"/>
        <v>2025-10</v>
      </c>
      <c r="C195">
        <v>2025100603</v>
      </c>
      <c r="D195" t="s">
        <v>6</v>
      </c>
      <c r="E195" t="s">
        <v>133</v>
      </c>
      <c r="F195" t="s">
        <v>189</v>
      </c>
      <c r="G195" t="str">
        <f>_xlfn.XLOOKUP(Export20251104132100[[#This Row],[Merchant]],Table3[Merchant],Table3[Category],"Unknown")</f>
        <v>Groceries</v>
      </c>
      <c r="H195" t="s">
        <v>6</v>
      </c>
      <c r="I195" s="15">
        <v>-82.08</v>
      </c>
      <c r="J195" t="str">
        <f>IF(Export20251104132100[[#This Row],[Amount]]&gt;=0,"In","out")</f>
        <v>out</v>
      </c>
    </row>
    <row r="196" spans="1:10" x14ac:dyDescent="0.35">
      <c r="A196" s="1">
        <v>45936</v>
      </c>
      <c r="B196" s="1" t="str">
        <f t="shared" si="3"/>
        <v>2025-10</v>
      </c>
      <c r="C196">
        <v>2025100602</v>
      </c>
      <c r="D196" t="s">
        <v>19</v>
      </c>
      <c r="E196" t="s">
        <v>131</v>
      </c>
      <c r="F196" t="s">
        <v>166</v>
      </c>
      <c r="G196" t="str">
        <f>_xlfn.XLOOKUP(Export20251104132100[[#This Row],[Merchant]],Table3[Merchant],Table3[Category],"Unknown")</f>
        <v>Transfers</v>
      </c>
      <c r="H196" t="s">
        <v>132</v>
      </c>
      <c r="I196" s="15">
        <v>-37.24</v>
      </c>
      <c r="J196" t="str">
        <f>IF(Export20251104132100[[#This Row],[Amount]]&gt;=0,"In","out")</f>
        <v>out</v>
      </c>
    </row>
    <row r="197" spans="1:10" x14ac:dyDescent="0.35">
      <c r="A197" s="1">
        <v>45943</v>
      </c>
      <c r="B197" s="1" t="str">
        <f t="shared" si="3"/>
        <v>2025-10</v>
      </c>
      <c r="C197">
        <v>2025101301</v>
      </c>
      <c r="D197" t="s">
        <v>14</v>
      </c>
      <c r="E197" t="s">
        <v>116</v>
      </c>
      <c r="F197" t="s">
        <v>228</v>
      </c>
      <c r="G197" t="str">
        <f>_xlfn.XLOOKUP(Export20251104132100[[#This Row],[Merchant]],Table3[Merchant],Table3[Category],"Unknown")</f>
        <v>Income</v>
      </c>
      <c r="H197" t="s">
        <v>124</v>
      </c>
      <c r="I197" s="15">
        <v>312.5</v>
      </c>
      <c r="J197" t="str">
        <f>IF(Export20251104132100[[#This Row],[Amount]]&gt;=0,"In","out")</f>
        <v>In</v>
      </c>
    </row>
    <row r="198" spans="1:10" x14ac:dyDescent="0.35">
      <c r="A198" s="1">
        <v>45946</v>
      </c>
      <c r="B198" s="1" t="str">
        <f t="shared" si="3"/>
        <v>2025-10</v>
      </c>
      <c r="C198">
        <v>2025101601</v>
      </c>
      <c r="D198" t="s">
        <v>6</v>
      </c>
      <c r="E198" t="s">
        <v>53</v>
      </c>
      <c r="F198" t="s">
        <v>174</v>
      </c>
      <c r="G198" t="str">
        <f>_xlfn.XLOOKUP(Export20251104132100[[#This Row],[Merchant]],Table3[Merchant],Table3[Category],"Unknown")</f>
        <v>Shopping</v>
      </c>
      <c r="H198" t="s">
        <v>6</v>
      </c>
      <c r="I198" s="15">
        <v>-14.99</v>
      </c>
      <c r="J198" t="str">
        <f>IF(Export20251104132100[[#This Row],[Amount]]&gt;=0,"In","out")</f>
        <v>out</v>
      </c>
    </row>
    <row r="199" spans="1:10" x14ac:dyDescent="0.35">
      <c r="A199" s="1">
        <v>45947</v>
      </c>
      <c r="B199" s="1" t="str">
        <f t="shared" si="3"/>
        <v>2025-10</v>
      </c>
      <c r="C199">
        <v>2025101701</v>
      </c>
      <c r="D199" t="s">
        <v>6</v>
      </c>
      <c r="E199" t="s">
        <v>134</v>
      </c>
      <c r="F199" t="s">
        <v>184</v>
      </c>
      <c r="G199" t="str">
        <f>_xlfn.XLOOKUP(Export20251104132100[[#This Row],[Merchant]],Table3[Merchant],Table3[Category],"Unknown")</f>
        <v>Fitness</v>
      </c>
      <c r="H199" t="s">
        <v>6</v>
      </c>
      <c r="I199" s="15">
        <v>-79.95</v>
      </c>
      <c r="J199" t="str">
        <f>IF(Export20251104132100[[#This Row],[Amount]]&gt;=0,"In","out")</f>
        <v>out</v>
      </c>
    </row>
    <row r="200" spans="1:10" x14ac:dyDescent="0.35">
      <c r="A200" s="1">
        <v>45948</v>
      </c>
      <c r="B200" s="1" t="str">
        <f t="shared" si="3"/>
        <v>2025-10</v>
      </c>
      <c r="C200">
        <v>2025101801</v>
      </c>
      <c r="D200" t="s">
        <v>6</v>
      </c>
      <c r="E200" t="s">
        <v>64</v>
      </c>
      <c r="F200" t="s">
        <v>236</v>
      </c>
      <c r="G200" t="str">
        <f>_xlfn.XLOOKUP(Export20251104132100[[#This Row],[Merchant]],Table3[Merchant],Table3[Category],"Unknown")</f>
        <v>Food &amp; dining</v>
      </c>
      <c r="H200" t="s">
        <v>6</v>
      </c>
      <c r="I200" s="15">
        <v>-4.6100000000000003</v>
      </c>
      <c r="J200" t="str">
        <f>IF(Export20251104132100[[#This Row],[Amount]]&gt;=0,"In","out")</f>
        <v>out</v>
      </c>
    </row>
    <row r="201" spans="1:10" x14ac:dyDescent="0.35">
      <c r="A201" s="1">
        <v>45949</v>
      </c>
      <c r="B201" s="1" t="str">
        <f t="shared" si="3"/>
        <v>2025-10</v>
      </c>
      <c r="C201">
        <v>2025101901</v>
      </c>
      <c r="D201" t="s">
        <v>6</v>
      </c>
      <c r="E201" t="s">
        <v>54</v>
      </c>
      <c r="F201" t="s">
        <v>235</v>
      </c>
      <c r="G201" t="str">
        <f>_xlfn.XLOOKUP(Export20251104132100[[#This Row],[Merchant]],Table3[Merchant],Table3[Category],"Unknown")</f>
        <v>Fuel</v>
      </c>
      <c r="H201" t="s">
        <v>6</v>
      </c>
      <c r="I201" s="15">
        <v>-14.99</v>
      </c>
      <c r="J201" t="str">
        <f>IF(Export20251104132100[[#This Row],[Amount]]&gt;=0,"In","out")</f>
        <v>out</v>
      </c>
    </row>
    <row r="202" spans="1:10" x14ac:dyDescent="0.35">
      <c r="A202" s="1">
        <v>45951</v>
      </c>
      <c r="B202" s="1" t="str">
        <f t="shared" si="3"/>
        <v>2025-10</v>
      </c>
      <c r="C202">
        <v>2025102101</v>
      </c>
      <c r="D202" t="s">
        <v>19</v>
      </c>
      <c r="E202" t="s">
        <v>135</v>
      </c>
      <c r="F202" t="s">
        <v>173</v>
      </c>
      <c r="G202" t="str">
        <f>_xlfn.XLOOKUP(Export20251104132100[[#This Row],[Merchant]],Table3[Merchant],Table3[Category],"Unknown")</f>
        <v>Transfers</v>
      </c>
      <c r="H202" t="s">
        <v>136</v>
      </c>
      <c r="I202" s="15">
        <v>-150</v>
      </c>
      <c r="J202" t="str">
        <f>IF(Export20251104132100[[#This Row],[Amount]]&gt;=0,"In","out")</f>
        <v>out</v>
      </c>
    </row>
    <row r="203" spans="1:10" x14ac:dyDescent="0.35">
      <c r="A203" s="1">
        <v>45952</v>
      </c>
      <c r="B203" s="1" t="str">
        <f t="shared" si="3"/>
        <v>2025-10</v>
      </c>
      <c r="C203">
        <v>2025102201</v>
      </c>
      <c r="D203" t="s">
        <v>43</v>
      </c>
      <c r="E203" t="s">
        <v>137</v>
      </c>
      <c r="F203" t="s">
        <v>185</v>
      </c>
      <c r="G203" t="str">
        <f>_xlfn.XLOOKUP(Export20251104132100[[#This Row],[Merchant]],Table3[Merchant],Table3[Category],"Unknown")</f>
        <v>Income</v>
      </c>
      <c r="H203" t="s">
        <v>138</v>
      </c>
      <c r="I203" s="15">
        <v>-15</v>
      </c>
      <c r="J203" t="str">
        <f>IF(Export20251104132100[[#This Row],[Amount]]&gt;=0,"In","out")</f>
        <v>out</v>
      </c>
    </row>
    <row r="204" spans="1:10" x14ac:dyDescent="0.35">
      <c r="A204" s="1">
        <v>45952</v>
      </c>
      <c r="B204" s="1" t="str">
        <f t="shared" si="3"/>
        <v>2025-10</v>
      </c>
      <c r="C204">
        <v>2025102202</v>
      </c>
      <c r="D204" t="s">
        <v>43</v>
      </c>
      <c r="E204" t="s">
        <v>137</v>
      </c>
      <c r="F204" t="s">
        <v>185</v>
      </c>
      <c r="G204" t="str">
        <f>_xlfn.XLOOKUP(Export20251104132100[[#This Row],[Merchant]],Table3[Merchant],Table3[Category],"Unknown")</f>
        <v>Income</v>
      </c>
      <c r="H204" t="s">
        <v>139</v>
      </c>
      <c r="I204" s="15">
        <v>-18</v>
      </c>
      <c r="J204" t="str">
        <f>IF(Export20251104132100[[#This Row],[Amount]]&gt;=0,"In","out")</f>
        <v>out</v>
      </c>
    </row>
    <row r="205" spans="1:10" x14ac:dyDescent="0.35">
      <c r="A205" s="1">
        <v>45955</v>
      </c>
      <c r="B205" s="1" t="str">
        <f t="shared" si="3"/>
        <v>2025-10</v>
      </c>
      <c r="C205">
        <v>2025102501</v>
      </c>
      <c r="D205" t="s">
        <v>6</v>
      </c>
      <c r="E205" t="s">
        <v>64</v>
      </c>
      <c r="F205" t="s">
        <v>236</v>
      </c>
      <c r="G205" t="str">
        <f>_xlfn.XLOOKUP(Export20251104132100[[#This Row],[Merchant]],Table3[Merchant],Table3[Category],"Unknown")</f>
        <v>Food &amp; dining</v>
      </c>
      <c r="H205" t="s">
        <v>6</v>
      </c>
      <c r="I205" s="15">
        <v>-4.6100000000000003</v>
      </c>
      <c r="J205" t="str">
        <f>IF(Export20251104132100[[#This Row],[Amount]]&gt;=0,"In","out")</f>
        <v>out</v>
      </c>
    </row>
    <row r="206" spans="1:10" x14ac:dyDescent="0.35">
      <c r="A206" s="1">
        <v>45956</v>
      </c>
      <c r="B206" s="1" t="str">
        <f t="shared" si="3"/>
        <v>2025-10</v>
      </c>
      <c r="C206">
        <v>2025102601</v>
      </c>
      <c r="D206" t="s">
        <v>6</v>
      </c>
      <c r="E206" t="s">
        <v>54</v>
      </c>
      <c r="F206" t="s">
        <v>235</v>
      </c>
      <c r="G206" t="str">
        <f>_xlfn.XLOOKUP(Export20251104132100[[#This Row],[Merchant]],Table3[Merchant],Table3[Category],"Unknown")</f>
        <v>Fuel</v>
      </c>
      <c r="H206" t="s">
        <v>6</v>
      </c>
      <c r="I206" s="15">
        <v>-17.600000000000001</v>
      </c>
      <c r="J206" t="str">
        <f>IF(Export20251104132100[[#This Row],[Amount]]&gt;=0,"In","out")</f>
        <v>out</v>
      </c>
    </row>
    <row r="207" spans="1:10" x14ac:dyDescent="0.35">
      <c r="A207" s="1">
        <v>45957</v>
      </c>
      <c r="B207" s="1" t="str">
        <f t="shared" si="3"/>
        <v>2025-10</v>
      </c>
      <c r="C207">
        <v>2025102701</v>
      </c>
      <c r="D207" t="s">
        <v>6</v>
      </c>
      <c r="E207" t="s">
        <v>133</v>
      </c>
      <c r="F207" t="s">
        <v>189</v>
      </c>
      <c r="G207" t="str">
        <f>_xlfn.XLOOKUP(Export20251104132100[[#This Row],[Merchant]],Table3[Merchant],Table3[Category],"Unknown")</f>
        <v>Groceries</v>
      </c>
      <c r="H207" t="s">
        <v>6</v>
      </c>
      <c r="I207" s="15">
        <v>-67.599999999999994</v>
      </c>
      <c r="J207" t="str">
        <f>IF(Export20251104132100[[#This Row],[Amount]]&gt;=0,"In","out")</f>
        <v>out</v>
      </c>
    </row>
    <row r="208" spans="1:10" x14ac:dyDescent="0.35">
      <c r="A208" s="1">
        <v>45958</v>
      </c>
      <c r="B208" s="1" t="str">
        <f t="shared" si="3"/>
        <v>2025-10</v>
      </c>
      <c r="C208">
        <v>2025102801</v>
      </c>
      <c r="D208" t="s">
        <v>6</v>
      </c>
      <c r="E208" t="s">
        <v>129</v>
      </c>
      <c r="F208" t="s">
        <v>235</v>
      </c>
      <c r="G208" t="str">
        <f>_xlfn.XLOOKUP(Export20251104132100[[#This Row],[Merchant]],Table3[Merchant],Table3[Category],"Unknown")</f>
        <v>Fuel</v>
      </c>
      <c r="H208" t="s">
        <v>6</v>
      </c>
      <c r="I208" s="15">
        <v>-14.5</v>
      </c>
      <c r="J208" t="str">
        <f>IF(Export20251104132100[[#This Row],[Amount]]&gt;=0,"In","out")</f>
        <v>out</v>
      </c>
    </row>
    <row r="209" spans="1:10" x14ac:dyDescent="0.35">
      <c r="A209" s="1">
        <v>45958</v>
      </c>
      <c r="B209" s="1" t="str">
        <f t="shared" si="3"/>
        <v>2025-10</v>
      </c>
      <c r="C209">
        <v>2025102802</v>
      </c>
      <c r="D209" t="s">
        <v>6</v>
      </c>
      <c r="E209" t="s">
        <v>129</v>
      </c>
      <c r="F209" t="s">
        <v>235</v>
      </c>
      <c r="G209" t="str">
        <f>_xlfn.XLOOKUP(Export20251104132100[[#This Row],[Merchant]],Table3[Merchant],Table3[Category],"Unknown")</f>
        <v>Fuel</v>
      </c>
      <c r="H209" t="s">
        <v>6</v>
      </c>
      <c r="I209" s="15">
        <v>-61.48</v>
      </c>
      <c r="J209" t="str">
        <f>IF(Export20251104132100[[#This Row],[Amount]]&gt;=0,"In","out")</f>
        <v>out</v>
      </c>
    </row>
    <row r="210" spans="1:10" x14ac:dyDescent="0.35">
      <c r="A210" s="1">
        <v>45958</v>
      </c>
      <c r="B210" s="1" t="str">
        <f t="shared" si="3"/>
        <v>2025-10</v>
      </c>
      <c r="C210">
        <v>2025102803</v>
      </c>
      <c r="D210" t="s">
        <v>14</v>
      </c>
      <c r="E210" t="s">
        <v>116</v>
      </c>
      <c r="F210" t="s">
        <v>228</v>
      </c>
      <c r="G210" t="str">
        <f>_xlfn.XLOOKUP(Export20251104132100[[#This Row],[Merchant]],Table3[Merchant],Table3[Category],"Unknown")</f>
        <v>Income</v>
      </c>
      <c r="H210" t="s">
        <v>140</v>
      </c>
      <c r="I210" s="15">
        <v>200.5</v>
      </c>
      <c r="J210" t="str">
        <f>IF(Export20251104132100[[#This Row],[Amount]]&gt;=0,"In","out")</f>
        <v>In</v>
      </c>
    </row>
    <row r="211" spans="1:10" x14ac:dyDescent="0.35">
      <c r="A211" s="1">
        <v>45959</v>
      </c>
      <c r="B211" s="1" t="str">
        <f t="shared" si="3"/>
        <v>2025-10</v>
      </c>
      <c r="C211">
        <v>2025102902</v>
      </c>
      <c r="D211" t="s">
        <v>6</v>
      </c>
      <c r="E211" t="s">
        <v>69</v>
      </c>
      <c r="F211" t="s">
        <v>190</v>
      </c>
      <c r="G211" t="str">
        <f>_xlfn.XLOOKUP(Export20251104132100[[#This Row],[Merchant]],Table3[Merchant],Table3[Category],"Unknown")</f>
        <v>Shopping</v>
      </c>
      <c r="H211" t="s">
        <v>6</v>
      </c>
      <c r="I211" s="15">
        <v>-44.88</v>
      </c>
      <c r="J211" t="str">
        <f>IF(Export20251104132100[[#This Row],[Amount]]&gt;=0,"In","out")</f>
        <v>out</v>
      </c>
    </row>
    <row r="212" spans="1:10" x14ac:dyDescent="0.35">
      <c r="A212" s="1">
        <v>45959</v>
      </c>
      <c r="B212" s="1" t="str">
        <f t="shared" si="3"/>
        <v>2025-10</v>
      </c>
      <c r="C212">
        <v>2025102901</v>
      </c>
      <c r="D212" t="s">
        <v>43</v>
      </c>
      <c r="E212" t="s">
        <v>137</v>
      </c>
      <c r="F212" t="s">
        <v>185</v>
      </c>
      <c r="G212" t="str">
        <f>_xlfn.XLOOKUP(Export20251104132100[[#This Row],[Merchant]],Table3[Merchant],Table3[Category],"Unknown")</f>
        <v>Income</v>
      </c>
      <c r="H212" t="s">
        <v>141</v>
      </c>
      <c r="I212" s="15">
        <v>-18</v>
      </c>
      <c r="J212" t="str">
        <f>IF(Export20251104132100[[#This Row],[Amount]]&gt;=0,"In","out")</f>
        <v>out</v>
      </c>
    </row>
    <row r="213" spans="1:10" x14ac:dyDescent="0.35">
      <c r="A213" s="1">
        <v>45960</v>
      </c>
      <c r="B213" s="1" t="str">
        <f t="shared" si="3"/>
        <v>2025-10</v>
      </c>
      <c r="C213">
        <v>2025103001</v>
      </c>
      <c r="D213" t="s">
        <v>33</v>
      </c>
      <c r="E213" t="s">
        <v>34</v>
      </c>
      <c r="F213" t="s">
        <v>170</v>
      </c>
      <c r="G213" t="str">
        <f>_xlfn.XLOOKUP(Export20251104132100[[#This Row],[Merchant]],Table3[Merchant],Table3[Category],"Unknown")</f>
        <v>Income</v>
      </c>
      <c r="H213" t="s">
        <v>35</v>
      </c>
      <c r="I213" s="15">
        <v>390</v>
      </c>
      <c r="J213" t="str">
        <f>IF(Export20251104132100[[#This Row],[Amount]]&gt;=0,"In","out")</f>
        <v>In</v>
      </c>
    </row>
    <row r="214" spans="1:10" x14ac:dyDescent="0.35">
      <c r="A214" s="1">
        <v>45960</v>
      </c>
      <c r="B214" s="1" t="str">
        <f t="shared" si="3"/>
        <v>2025-10</v>
      </c>
      <c r="C214">
        <v>2025103002</v>
      </c>
      <c r="D214" t="s">
        <v>6</v>
      </c>
      <c r="E214" t="s">
        <v>142</v>
      </c>
      <c r="F214" t="s">
        <v>190</v>
      </c>
      <c r="G214" t="str">
        <f>_xlfn.XLOOKUP(Export20251104132100[[#This Row],[Merchant]],Table3[Merchant],Table3[Category],"Unknown")</f>
        <v>Shopping</v>
      </c>
      <c r="H214" t="s">
        <v>6</v>
      </c>
      <c r="I214" s="15">
        <v>-29.99</v>
      </c>
      <c r="J214" t="str">
        <f>IF(Export20251104132100[[#This Row],[Amount]]&gt;=0,"In","out")</f>
        <v>out</v>
      </c>
    </row>
    <row r="215" spans="1:10" x14ac:dyDescent="0.35">
      <c r="A215" s="1">
        <v>45960</v>
      </c>
      <c r="B215" s="1" t="str">
        <f t="shared" si="3"/>
        <v>2025-10</v>
      </c>
      <c r="C215">
        <v>2025103003</v>
      </c>
      <c r="D215" t="s">
        <v>6</v>
      </c>
      <c r="E215" t="s">
        <v>143</v>
      </c>
      <c r="F215" t="s">
        <v>151</v>
      </c>
      <c r="G215" t="str">
        <f>_xlfn.XLOOKUP(Export20251104132100[[#This Row],[Merchant]],Table3[Merchant],Table3[Category],"Unknown")</f>
        <v>Subscription</v>
      </c>
      <c r="H215" t="s">
        <v>6</v>
      </c>
      <c r="I215" s="15">
        <v>-18.989999999999998</v>
      </c>
      <c r="J215" t="str">
        <f>IF(Export20251104132100[[#This Row],[Amount]]&gt;=0,"In","out")</f>
        <v>out</v>
      </c>
    </row>
    <row r="216" spans="1:10" x14ac:dyDescent="0.35">
      <c r="A216" s="1">
        <v>45961</v>
      </c>
      <c r="B216" s="1" t="str">
        <f t="shared" si="3"/>
        <v>2025-10</v>
      </c>
      <c r="C216">
        <v>2025103101</v>
      </c>
      <c r="D216" t="s">
        <v>6</v>
      </c>
      <c r="E216" t="s">
        <v>17</v>
      </c>
      <c r="F216" t="s">
        <v>222</v>
      </c>
      <c r="G216" t="str">
        <f>_xlfn.XLOOKUP(Export20251104132100[[#This Row],[Merchant]],Table3[Merchant],Table3[Category],"Unknown")</f>
        <v>Grooming</v>
      </c>
      <c r="H216" t="s">
        <v>6</v>
      </c>
      <c r="I216" s="15">
        <v>-35.880000000000003</v>
      </c>
      <c r="J216" t="str">
        <f>IF(Export20251104132100[[#This Row],[Amount]]&gt;=0,"In","out")</f>
        <v>out</v>
      </c>
    </row>
    <row r="217" spans="1:10" x14ac:dyDescent="0.35">
      <c r="A217" s="1">
        <v>45962</v>
      </c>
      <c r="B217" s="1" t="str">
        <f t="shared" si="3"/>
        <v>2025-11</v>
      </c>
      <c r="C217">
        <v>2025110101</v>
      </c>
      <c r="D217" t="s">
        <v>6</v>
      </c>
      <c r="E217" t="s">
        <v>144</v>
      </c>
      <c r="F217" t="s">
        <v>242</v>
      </c>
      <c r="G217" t="str">
        <f>_xlfn.XLOOKUP(Export20251104132100[[#This Row],[Merchant]],Table3[Merchant],Table3[Category],"Unknown")</f>
        <v>Food &amp; dining</v>
      </c>
      <c r="H217" t="s">
        <v>6</v>
      </c>
      <c r="I217" s="15">
        <v>-17</v>
      </c>
      <c r="J217" t="str">
        <f>IF(Export20251104132100[[#This Row],[Amount]]&gt;=0,"In","out")</f>
        <v>out</v>
      </c>
    </row>
    <row r="218" spans="1:10" x14ac:dyDescent="0.35">
      <c r="A218" s="1">
        <v>45963</v>
      </c>
      <c r="B218" s="1" t="str">
        <f t="shared" si="3"/>
        <v>2025-11</v>
      </c>
      <c r="C218">
        <v>2025110202</v>
      </c>
      <c r="D218" t="s">
        <v>6</v>
      </c>
      <c r="E218" t="s">
        <v>147</v>
      </c>
      <c r="F218" t="s">
        <v>243</v>
      </c>
      <c r="G218" t="str">
        <f>_xlfn.XLOOKUP(Export20251104132100[[#This Row],[Merchant]],Table3[Merchant],Table3[Category],"Unknown")</f>
        <v>Food &amp; dining</v>
      </c>
      <c r="H218" t="s">
        <v>6</v>
      </c>
      <c r="I218" s="15">
        <v>-3.06</v>
      </c>
      <c r="J218" t="str">
        <f>IF(Export20251104132100[[#This Row],[Amount]]&gt;=0,"In","out")</f>
        <v>out</v>
      </c>
    </row>
    <row r="219" spans="1:10" x14ac:dyDescent="0.35">
      <c r="A219" s="1">
        <v>45963</v>
      </c>
      <c r="B219" s="1" t="str">
        <f t="shared" si="3"/>
        <v>2025-11</v>
      </c>
      <c r="C219">
        <v>2025110203</v>
      </c>
      <c r="D219" t="s">
        <v>6</v>
      </c>
      <c r="E219" t="s">
        <v>148</v>
      </c>
      <c r="F219" t="s">
        <v>244</v>
      </c>
      <c r="G219" t="str">
        <f>_xlfn.XLOOKUP(Export20251104132100[[#This Row],[Merchant]],Table3[Merchant],Table3[Category],"Unknown")</f>
        <v>Shopping</v>
      </c>
      <c r="H219" t="s">
        <v>6</v>
      </c>
      <c r="I219" s="15">
        <v>-177.64</v>
      </c>
      <c r="J219" t="str">
        <f>IF(Export20251104132100[[#This Row],[Amount]]&gt;=0,"In","out")</f>
        <v>out</v>
      </c>
    </row>
    <row r="220" spans="1:10" x14ac:dyDescent="0.35">
      <c r="A220" s="1">
        <v>45963</v>
      </c>
      <c r="B220" s="1" t="str">
        <f t="shared" si="3"/>
        <v>2025-11</v>
      </c>
      <c r="C220">
        <v>2025110201</v>
      </c>
      <c r="D220" t="s">
        <v>14</v>
      </c>
      <c r="E220" t="s">
        <v>145</v>
      </c>
      <c r="F220" t="s">
        <v>164</v>
      </c>
      <c r="G220" t="str">
        <f>_xlfn.XLOOKUP(Export20251104132100[[#This Row],[Merchant]],Table3[Merchant],Table3[Category],"Unknown")</f>
        <v>Uncategorized</v>
      </c>
      <c r="H220" t="s">
        <v>146</v>
      </c>
      <c r="I220" s="16">
        <v>8.06</v>
      </c>
      <c r="J220" t="str">
        <f>IF(Export20251104132100[[#This Row],[Amount]]&gt;=0,"In","out")</f>
        <v>In</v>
      </c>
    </row>
    <row r="221" spans="1:10" x14ac:dyDescent="0.35">
      <c r="A221"/>
      <c r="B221"/>
      <c r="H221"/>
      <c r="I221" s="15">
        <f>SUBTOTAL(109, Export20251104132100[Amount])</f>
        <v>993.03999999999962</v>
      </c>
    </row>
  </sheetData>
  <phoneticPr fontId="1" type="noConversion"/>
  <conditionalFormatting sqref="I2:I220">
    <cfRule type="cellIs" dxfId="1" priority="1" operator="lessThan">
      <formula>0</formula>
    </cfRule>
    <cfRule type="cellIs" dxfId="0" priority="2" operator="greaterThan">
      <formula>70</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49B4-05A5-48EB-961F-6792C55B5764}">
  <dimension ref="A1:B19"/>
  <sheetViews>
    <sheetView topLeftCell="A2" workbookViewId="0">
      <selection activeCell="H9" sqref="H9"/>
    </sheetView>
  </sheetViews>
  <sheetFormatPr defaultRowHeight="14.5" x14ac:dyDescent="0.35"/>
  <cols>
    <col min="1" max="1" width="13.453125" bestFit="1" customWidth="1"/>
    <col min="2" max="2" width="13.6328125" bestFit="1" customWidth="1"/>
    <col min="3" max="12" width="7.453125" bestFit="1" customWidth="1"/>
  </cols>
  <sheetData>
    <row r="1" spans="1:2" x14ac:dyDescent="0.35">
      <c r="A1" s="3" t="s">
        <v>199</v>
      </c>
      <c r="B1" t="s">
        <v>270</v>
      </c>
    </row>
    <row r="3" spans="1:2" x14ac:dyDescent="0.35">
      <c r="A3" s="3" t="s">
        <v>221</v>
      </c>
      <c r="B3" t="s">
        <v>265</v>
      </c>
    </row>
    <row r="4" spans="1:2" x14ac:dyDescent="0.35">
      <c r="A4" t="s">
        <v>250</v>
      </c>
      <c r="B4" s="15">
        <v>-74.139999999999986</v>
      </c>
    </row>
    <row r="5" spans="1:2" x14ac:dyDescent="0.35">
      <c r="A5" t="s">
        <v>249</v>
      </c>
      <c r="B5" s="15">
        <v>-418.47000000000008</v>
      </c>
    </row>
    <row r="6" spans="1:2" x14ac:dyDescent="0.35">
      <c r="A6" t="s">
        <v>252</v>
      </c>
      <c r="B6" s="15">
        <v>-10</v>
      </c>
    </row>
    <row r="7" spans="1:2" x14ac:dyDescent="0.35">
      <c r="A7" t="s">
        <v>256</v>
      </c>
      <c r="B7" s="15">
        <v>-79.95</v>
      </c>
    </row>
    <row r="8" spans="1:2" x14ac:dyDescent="0.35">
      <c r="A8" t="s">
        <v>258</v>
      </c>
      <c r="B8" s="15">
        <v>-353.49000000000007</v>
      </c>
    </row>
    <row r="9" spans="1:2" x14ac:dyDescent="0.35">
      <c r="A9" t="s">
        <v>259</v>
      </c>
      <c r="B9" s="15">
        <v>-301.90000000000003</v>
      </c>
    </row>
    <row r="10" spans="1:2" x14ac:dyDescent="0.35">
      <c r="A10" t="s">
        <v>245</v>
      </c>
      <c r="B10" s="15">
        <v>-461.44999999999993</v>
      </c>
    </row>
    <row r="11" spans="1:2" x14ac:dyDescent="0.35">
      <c r="A11" t="s">
        <v>255</v>
      </c>
      <c r="B11" s="15">
        <v>-210.14999999999998</v>
      </c>
    </row>
    <row r="12" spans="1:2" x14ac:dyDescent="0.35">
      <c r="A12" t="s">
        <v>251</v>
      </c>
      <c r="B12" s="15">
        <v>-59.67</v>
      </c>
    </row>
    <row r="13" spans="1:2" x14ac:dyDescent="0.35">
      <c r="A13" t="s">
        <v>254</v>
      </c>
      <c r="B13" s="15">
        <v>7065.79</v>
      </c>
    </row>
    <row r="14" spans="1:2" x14ac:dyDescent="0.35">
      <c r="A14" t="s">
        <v>247</v>
      </c>
      <c r="B14" s="15">
        <v>-1239.42</v>
      </c>
    </row>
    <row r="15" spans="1:2" x14ac:dyDescent="0.35">
      <c r="A15" t="s">
        <v>257</v>
      </c>
      <c r="B15" s="15">
        <v>-377.2700000000001</v>
      </c>
    </row>
    <row r="16" spans="1:2" x14ac:dyDescent="0.35">
      <c r="A16" t="s">
        <v>253</v>
      </c>
      <c r="B16" s="15">
        <v>-259.24</v>
      </c>
    </row>
    <row r="17" spans="1:2" x14ac:dyDescent="0.35">
      <c r="A17" t="s">
        <v>246</v>
      </c>
      <c r="B17" s="15">
        <v>-77.8</v>
      </c>
    </row>
    <row r="18" spans="1:2" x14ac:dyDescent="0.35">
      <c r="A18" t="s">
        <v>260</v>
      </c>
      <c r="B18" s="15">
        <v>-458</v>
      </c>
    </row>
    <row r="19" spans="1:2" x14ac:dyDescent="0.35">
      <c r="A19" t="s">
        <v>248</v>
      </c>
      <c r="B19" s="15">
        <v>-1691.8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4779-FCD5-4E15-A389-FC0A3E4CDCDF}">
  <dimension ref="A1:B75"/>
  <sheetViews>
    <sheetView topLeftCell="A3" workbookViewId="0">
      <selection activeCell="E8" sqref="E8"/>
    </sheetView>
  </sheetViews>
  <sheetFormatPr defaultRowHeight="14.5" x14ac:dyDescent="0.35"/>
  <cols>
    <col min="1" max="1" width="39.6328125" customWidth="1"/>
    <col min="2" max="2" width="10.1796875" customWidth="1"/>
  </cols>
  <sheetData>
    <row r="1" spans="1:2" x14ac:dyDescent="0.35">
      <c r="A1" t="s">
        <v>149</v>
      </c>
      <c r="B1" t="s">
        <v>221</v>
      </c>
    </row>
    <row r="2" spans="1:2" x14ac:dyDescent="0.35">
      <c r="A2" t="s">
        <v>150</v>
      </c>
      <c r="B2" t="s">
        <v>257</v>
      </c>
    </row>
    <row r="3" spans="1:2" x14ac:dyDescent="0.35">
      <c r="A3" t="s">
        <v>151</v>
      </c>
      <c r="B3" t="s">
        <v>257</v>
      </c>
    </row>
    <row r="4" spans="1:2" x14ac:dyDescent="0.35">
      <c r="A4" t="s">
        <v>214</v>
      </c>
      <c r="B4" t="s">
        <v>247</v>
      </c>
    </row>
    <row r="5" spans="1:2" x14ac:dyDescent="0.35">
      <c r="A5" t="s">
        <v>165</v>
      </c>
      <c r="B5" t="s">
        <v>247</v>
      </c>
    </row>
    <row r="6" spans="1:2" x14ac:dyDescent="0.35">
      <c r="A6" t="s">
        <v>152</v>
      </c>
      <c r="B6" t="s">
        <v>249</v>
      </c>
    </row>
    <row r="7" spans="1:2" x14ac:dyDescent="0.35">
      <c r="A7" t="s">
        <v>217</v>
      </c>
      <c r="B7" t="s">
        <v>254</v>
      </c>
    </row>
    <row r="8" spans="1:2" x14ac:dyDescent="0.35">
      <c r="A8" t="s">
        <v>186</v>
      </c>
      <c r="B8" t="s">
        <v>258</v>
      </c>
    </row>
    <row r="9" spans="1:2" x14ac:dyDescent="0.35">
      <c r="A9" t="s">
        <v>197</v>
      </c>
      <c r="B9" t="s">
        <v>258</v>
      </c>
    </row>
    <row r="10" spans="1:2" x14ac:dyDescent="0.35">
      <c r="A10" t="s">
        <v>188</v>
      </c>
      <c r="B10" t="s">
        <v>246</v>
      </c>
    </row>
    <row r="11" spans="1:2" x14ac:dyDescent="0.35">
      <c r="A11" t="s">
        <v>222</v>
      </c>
      <c r="B11" t="s">
        <v>255</v>
      </c>
    </row>
    <row r="12" spans="1:2" x14ac:dyDescent="0.35">
      <c r="A12" t="s">
        <v>167</v>
      </c>
      <c r="B12" t="s">
        <v>248</v>
      </c>
    </row>
    <row r="13" spans="1:2" x14ac:dyDescent="0.35">
      <c r="A13" t="s">
        <v>166</v>
      </c>
      <c r="B13" t="s">
        <v>253</v>
      </c>
    </row>
    <row r="14" spans="1:2" x14ac:dyDescent="0.35">
      <c r="A14" t="s">
        <v>223</v>
      </c>
      <c r="B14" t="s">
        <v>249</v>
      </c>
    </row>
    <row r="15" spans="1:2" x14ac:dyDescent="0.35">
      <c r="A15" t="s">
        <v>219</v>
      </c>
      <c r="B15" t="s">
        <v>249</v>
      </c>
    </row>
    <row r="16" spans="1:2" x14ac:dyDescent="0.35">
      <c r="A16" t="s">
        <v>224</v>
      </c>
      <c r="B16" t="s">
        <v>258</v>
      </c>
    </row>
    <row r="17" spans="1:2" x14ac:dyDescent="0.35">
      <c r="A17" t="s">
        <v>218</v>
      </c>
      <c r="B17" t="s">
        <v>258</v>
      </c>
    </row>
    <row r="18" spans="1:2" x14ac:dyDescent="0.35">
      <c r="A18" t="s">
        <v>225</v>
      </c>
      <c r="B18" t="s">
        <v>258</v>
      </c>
    </row>
    <row r="19" spans="1:2" x14ac:dyDescent="0.35">
      <c r="A19" t="s">
        <v>168</v>
      </c>
      <c r="B19" t="s">
        <v>258</v>
      </c>
    </row>
    <row r="20" spans="1:2" x14ac:dyDescent="0.35">
      <c r="A20" t="s">
        <v>153</v>
      </c>
      <c r="B20" t="s">
        <v>250</v>
      </c>
    </row>
    <row r="21" spans="1:2" x14ac:dyDescent="0.35">
      <c r="A21" t="s">
        <v>169</v>
      </c>
      <c r="B21" t="s">
        <v>247</v>
      </c>
    </row>
    <row r="22" spans="1:2" x14ac:dyDescent="0.35">
      <c r="A22" t="s">
        <v>231</v>
      </c>
      <c r="B22" t="s">
        <v>258</v>
      </c>
    </row>
    <row r="23" spans="1:2" x14ac:dyDescent="0.35">
      <c r="A23" t="s">
        <v>226</v>
      </c>
      <c r="B23" t="s">
        <v>258</v>
      </c>
    </row>
    <row r="24" spans="1:2" x14ac:dyDescent="0.35">
      <c r="A24" t="s">
        <v>170</v>
      </c>
      <c r="B24" t="s">
        <v>254</v>
      </c>
    </row>
    <row r="25" spans="1:2" x14ac:dyDescent="0.35">
      <c r="A25" t="s">
        <v>189</v>
      </c>
      <c r="B25" t="s">
        <v>245</v>
      </c>
    </row>
    <row r="26" spans="1:2" x14ac:dyDescent="0.35">
      <c r="A26" t="s">
        <v>154</v>
      </c>
      <c r="B26" t="s">
        <v>247</v>
      </c>
    </row>
    <row r="27" spans="1:2" x14ac:dyDescent="0.35">
      <c r="A27" t="s">
        <v>233</v>
      </c>
      <c r="B27" t="s">
        <v>257</v>
      </c>
    </row>
    <row r="28" spans="1:2" x14ac:dyDescent="0.35">
      <c r="A28" t="s">
        <v>232</v>
      </c>
      <c r="B28" t="s">
        <v>258</v>
      </c>
    </row>
    <row r="29" spans="1:2" x14ac:dyDescent="0.35">
      <c r="A29" t="s">
        <v>171</v>
      </c>
      <c r="B29" t="s">
        <v>247</v>
      </c>
    </row>
    <row r="30" spans="1:2" x14ac:dyDescent="0.35">
      <c r="A30" t="s">
        <v>172</v>
      </c>
      <c r="B30" t="s">
        <v>248</v>
      </c>
    </row>
    <row r="31" spans="1:2" x14ac:dyDescent="0.35">
      <c r="A31" t="s">
        <v>187</v>
      </c>
      <c r="B31" t="s">
        <v>254</v>
      </c>
    </row>
    <row r="32" spans="1:2" x14ac:dyDescent="0.35">
      <c r="A32" t="s">
        <v>190</v>
      </c>
      <c r="B32" t="s">
        <v>247</v>
      </c>
    </row>
    <row r="33" spans="1:2" x14ac:dyDescent="0.35">
      <c r="A33" t="s">
        <v>155</v>
      </c>
      <c r="B33" t="s">
        <v>250</v>
      </c>
    </row>
    <row r="34" spans="1:2" x14ac:dyDescent="0.35">
      <c r="A34" t="s">
        <v>234</v>
      </c>
      <c r="B34" t="s">
        <v>251</v>
      </c>
    </row>
    <row r="35" spans="1:2" x14ac:dyDescent="0.35">
      <c r="A35" t="s">
        <v>173</v>
      </c>
      <c r="B35" t="s">
        <v>253</v>
      </c>
    </row>
    <row r="36" spans="1:2" x14ac:dyDescent="0.35">
      <c r="A36" t="s">
        <v>235</v>
      </c>
      <c r="B36" t="s">
        <v>259</v>
      </c>
    </row>
    <row r="37" spans="1:2" x14ac:dyDescent="0.35">
      <c r="A37" t="s">
        <v>191</v>
      </c>
      <c r="B37" t="s">
        <v>249</v>
      </c>
    </row>
    <row r="38" spans="1:2" x14ac:dyDescent="0.35">
      <c r="A38" t="s">
        <v>175</v>
      </c>
      <c r="B38" t="s">
        <v>249</v>
      </c>
    </row>
    <row r="39" spans="1:2" x14ac:dyDescent="0.35">
      <c r="A39" t="s">
        <v>156</v>
      </c>
      <c r="B39" t="s">
        <v>245</v>
      </c>
    </row>
    <row r="40" spans="1:2" x14ac:dyDescent="0.35">
      <c r="A40" t="s">
        <v>176</v>
      </c>
      <c r="B40" t="s">
        <v>253</v>
      </c>
    </row>
    <row r="41" spans="1:2" x14ac:dyDescent="0.35">
      <c r="A41" t="s">
        <v>192</v>
      </c>
      <c r="B41" t="s">
        <v>249</v>
      </c>
    </row>
    <row r="42" spans="1:2" x14ac:dyDescent="0.35">
      <c r="A42" t="s">
        <v>236</v>
      </c>
      <c r="B42" t="s">
        <v>258</v>
      </c>
    </row>
    <row r="43" spans="1:2" x14ac:dyDescent="0.35">
      <c r="A43" t="s">
        <v>177</v>
      </c>
      <c r="B43" t="s">
        <v>258</v>
      </c>
    </row>
    <row r="44" spans="1:2" x14ac:dyDescent="0.35">
      <c r="A44" t="s">
        <v>237</v>
      </c>
      <c r="B44" t="s">
        <v>247</v>
      </c>
    </row>
    <row r="45" spans="1:2" x14ac:dyDescent="0.35">
      <c r="A45" t="s">
        <v>178</v>
      </c>
      <c r="B45" t="s">
        <v>258</v>
      </c>
    </row>
    <row r="46" spans="1:2" x14ac:dyDescent="0.35">
      <c r="A46" t="s">
        <v>227</v>
      </c>
      <c r="B46" t="s">
        <v>258</v>
      </c>
    </row>
    <row r="47" spans="1:2" x14ac:dyDescent="0.35">
      <c r="A47" t="s">
        <v>238</v>
      </c>
      <c r="B47" t="s">
        <v>260</v>
      </c>
    </row>
    <row r="48" spans="1:2" x14ac:dyDescent="0.35">
      <c r="A48" t="s">
        <v>157</v>
      </c>
      <c r="B48" t="s">
        <v>260</v>
      </c>
    </row>
    <row r="49" spans="1:2" x14ac:dyDescent="0.35">
      <c r="A49" t="s">
        <v>158</v>
      </c>
      <c r="B49" t="s">
        <v>260</v>
      </c>
    </row>
    <row r="50" spans="1:2" x14ac:dyDescent="0.35">
      <c r="A50" t="s">
        <v>228</v>
      </c>
      <c r="B50" t="s">
        <v>254</v>
      </c>
    </row>
    <row r="51" spans="1:2" x14ac:dyDescent="0.35">
      <c r="A51" t="s">
        <v>179</v>
      </c>
      <c r="B51" t="s">
        <v>257</v>
      </c>
    </row>
    <row r="52" spans="1:2" x14ac:dyDescent="0.35">
      <c r="A52" t="s">
        <v>240</v>
      </c>
      <c r="B52" t="s">
        <v>258</v>
      </c>
    </row>
    <row r="53" spans="1:2" x14ac:dyDescent="0.35">
      <c r="A53" t="s">
        <v>229</v>
      </c>
      <c r="B53" t="s">
        <v>248</v>
      </c>
    </row>
    <row r="54" spans="1:2" x14ac:dyDescent="0.35">
      <c r="A54" t="s">
        <v>239</v>
      </c>
      <c r="B54" t="s">
        <v>247</v>
      </c>
    </row>
    <row r="55" spans="1:2" x14ac:dyDescent="0.35">
      <c r="A55" t="s">
        <v>193</v>
      </c>
      <c r="B55" t="s">
        <v>247</v>
      </c>
    </row>
    <row r="56" spans="1:2" x14ac:dyDescent="0.35">
      <c r="A56" t="s">
        <v>159</v>
      </c>
      <c r="B56" t="s">
        <v>252</v>
      </c>
    </row>
    <row r="57" spans="1:2" x14ac:dyDescent="0.35">
      <c r="A57" t="s">
        <v>160</v>
      </c>
      <c r="B57" t="s">
        <v>254</v>
      </c>
    </row>
    <row r="58" spans="1:2" x14ac:dyDescent="0.35">
      <c r="A58" t="s">
        <v>180</v>
      </c>
      <c r="B58" t="s">
        <v>260</v>
      </c>
    </row>
    <row r="59" spans="1:2" x14ac:dyDescent="0.35">
      <c r="A59" t="s">
        <v>230</v>
      </c>
      <c r="B59" t="s">
        <v>245</v>
      </c>
    </row>
    <row r="60" spans="1:2" x14ac:dyDescent="0.35">
      <c r="A60" t="s">
        <v>161</v>
      </c>
      <c r="B60" t="s">
        <v>250</v>
      </c>
    </row>
    <row r="61" spans="1:2" x14ac:dyDescent="0.35">
      <c r="A61" t="s">
        <v>162</v>
      </c>
      <c r="B61" t="s">
        <v>260</v>
      </c>
    </row>
    <row r="62" spans="1:2" x14ac:dyDescent="0.35">
      <c r="A62" t="s">
        <v>220</v>
      </c>
      <c r="B62" t="s">
        <v>246</v>
      </c>
    </row>
    <row r="63" spans="1:2" x14ac:dyDescent="0.35">
      <c r="A63" t="s">
        <v>194</v>
      </c>
      <c r="B63" t="s">
        <v>248</v>
      </c>
    </row>
    <row r="64" spans="1:2" x14ac:dyDescent="0.35">
      <c r="A64" t="s">
        <v>181</v>
      </c>
      <c r="B64" t="s">
        <v>247</v>
      </c>
    </row>
    <row r="65" spans="1:2" x14ac:dyDescent="0.35">
      <c r="A65" t="s">
        <v>163</v>
      </c>
      <c r="B65" t="s">
        <v>247</v>
      </c>
    </row>
    <row r="66" spans="1:2" x14ac:dyDescent="0.35">
      <c r="A66" t="s">
        <v>195</v>
      </c>
      <c r="B66" t="s">
        <v>254</v>
      </c>
    </row>
    <row r="67" spans="1:2" x14ac:dyDescent="0.35">
      <c r="A67" t="s">
        <v>182</v>
      </c>
      <c r="B67" t="s">
        <v>247</v>
      </c>
    </row>
    <row r="68" spans="1:2" x14ac:dyDescent="0.35">
      <c r="A68" t="s">
        <v>183</v>
      </c>
      <c r="B68" t="s">
        <v>248</v>
      </c>
    </row>
    <row r="69" spans="1:2" x14ac:dyDescent="0.35">
      <c r="A69" t="s">
        <v>196</v>
      </c>
      <c r="B69" t="s">
        <v>245</v>
      </c>
    </row>
    <row r="70" spans="1:2" x14ac:dyDescent="0.35">
      <c r="A70" t="s">
        <v>174</v>
      </c>
      <c r="B70" t="s">
        <v>247</v>
      </c>
    </row>
    <row r="71" spans="1:2" x14ac:dyDescent="0.35">
      <c r="A71" t="s">
        <v>184</v>
      </c>
      <c r="B71" t="s">
        <v>256</v>
      </c>
    </row>
    <row r="72" spans="1:2" x14ac:dyDescent="0.35">
      <c r="A72" t="s">
        <v>185</v>
      </c>
      <c r="B72" t="s">
        <v>254</v>
      </c>
    </row>
    <row r="73" spans="1:2" x14ac:dyDescent="0.35">
      <c r="A73" t="s">
        <v>242</v>
      </c>
      <c r="B73" t="s">
        <v>258</v>
      </c>
    </row>
    <row r="74" spans="1:2" x14ac:dyDescent="0.35">
      <c r="A74" t="s">
        <v>243</v>
      </c>
      <c r="B74" t="s">
        <v>258</v>
      </c>
    </row>
    <row r="75" spans="1:2" x14ac:dyDescent="0.35">
      <c r="A75" t="s">
        <v>164</v>
      </c>
      <c r="B75" t="s">
        <v>260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988F-828E-453C-B429-B5C3A4F55E08}">
  <dimension ref="A1:G78"/>
  <sheetViews>
    <sheetView topLeftCell="A4" workbookViewId="0">
      <selection activeCell="C15" sqref="C15"/>
    </sheetView>
  </sheetViews>
  <sheetFormatPr defaultRowHeight="14.5" x14ac:dyDescent="0.35"/>
  <cols>
    <col min="1" max="1" width="13.453125" bestFit="1" customWidth="1"/>
    <col min="2" max="2" width="10.1796875" bestFit="1" customWidth="1"/>
    <col min="3" max="3" width="16.1796875" bestFit="1" customWidth="1"/>
    <col min="4" max="4" width="8.54296875" bestFit="1" customWidth="1"/>
    <col min="5" max="5" width="13.6328125" customWidth="1"/>
    <col min="6" max="6" width="27.453125" bestFit="1" customWidth="1"/>
    <col min="7" max="7" width="13.6328125" bestFit="1" customWidth="1"/>
    <col min="8" max="17" width="7.453125" bestFit="1" customWidth="1"/>
    <col min="18" max="18" width="10.36328125" bestFit="1" customWidth="1"/>
  </cols>
  <sheetData>
    <row r="1" spans="1:7" x14ac:dyDescent="0.35">
      <c r="A1" s="3" t="s">
        <v>198</v>
      </c>
      <c r="B1" t="s">
        <v>270</v>
      </c>
      <c r="F1" t="s">
        <v>266</v>
      </c>
    </row>
    <row r="3" spans="1:7" x14ac:dyDescent="0.35">
      <c r="A3" s="3" t="s">
        <v>263</v>
      </c>
      <c r="B3" t="s">
        <v>269</v>
      </c>
      <c r="C3" t="s">
        <v>267</v>
      </c>
      <c r="D3" t="s">
        <v>268</v>
      </c>
      <c r="F3" s="3" t="s">
        <v>263</v>
      </c>
      <c r="G3" t="s">
        <v>265</v>
      </c>
    </row>
    <row r="4" spans="1:7" x14ac:dyDescent="0.35">
      <c r="A4" s="4" t="s">
        <v>250</v>
      </c>
      <c r="B4" s="7">
        <v>-74.139999999999986</v>
      </c>
      <c r="C4" s="33">
        <v>3</v>
      </c>
      <c r="D4" s="6">
        <v>-7.4659631031981949E-2</v>
      </c>
      <c r="E4" s="5"/>
      <c r="F4" s="4" t="s">
        <v>186</v>
      </c>
      <c r="G4" s="7">
        <v>-18.989999999999998</v>
      </c>
    </row>
    <row r="5" spans="1:7" x14ac:dyDescent="0.35">
      <c r="A5" s="4" t="s">
        <v>249</v>
      </c>
      <c r="B5" s="7">
        <v>-418.47000000000008</v>
      </c>
      <c r="C5" s="33">
        <v>20</v>
      </c>
      <c r="D5" s="6">
        <v>-0.42140296463384808</v>
      </c>
      <c r="E5" s="5"/>
      <c r="F5" s="4" t="s">
        <v>231</v>
      </c>
      <c r="G5" s="7">
        <v>-12.85</v>
      </c>
    </row>
    <row r="6" spans="1:7" x14ac:dyDescent="0.35">
      <c r="A6" s="4" t="s">
        <v>252</v>
      </c>
      <c r="B6" s="7">
        <v>-10</v>
      </c>
      <c r="C6" s="33">
        <v>1</v>
      </c>
      <c r="D6" s="6">
        <v>-1.0070087811165628E-2</v>
      </c>
      <c r="E6" s="5"/>
      <c r="F6" s="4" t="s">
        <v>165</v>
      </c>
      <c r="G6" s="7">
        <v>-39.99</v>
      </c>
    </row>
    <row r="7" spans="1:7" x14ac:dyDescent="0.35">
      <c r="A7" s="4" t="s">
        <v>256</v>
      </c>
      <c r="B7" s="7">
        <v>-79.95</v>
      </c>
      <c r="C7" s="33">
        <v>1</v>
      </c>
      <c r="D7" s="6">
        <v>-8.0510352050269199E-2</v>
      </c>
      <c r="E7" s="5"/>
      <c r="F7" s="4" t="s">
        <v>183</v>
      </c>
      <c r="G7" s="7">
        <v>-10</v>
      </c>
    </row>
    <row r="8" spans="1:7" x14ac:dyDescent="0.35">
      <c r="A8" s="4" t="s">
        <v>258</v>
      </c>
      <c r="B8" s="7">
        <v>-353.49000000000007</v>
      </c>
      <c r="C8" s="33">
        <v>35</v>
      </c>
      <c r="D8" s="6">
        <v>-0.35596753403689385</v>
      </c>
      <c r="E8" s="5"/>
      <c r="F8" s="4" t="s">
        <v>233</v>
      </c>
      <c r="G8" s="7">
        <v>-89.899999999999977</v>
      </c>
    </row>
    <row r="9" spans="1:7" x14ac:dyDescent="0.35">
      <c r="A9" s="4" t="s">
        <v>259</v>
      </c>
      <c r="B9" s="7">
        <v>-301.90000000000003</v>
      </c>
      <c r="C9" s="33">
        <v>12</v>
      </c>
      <c r="D9" s="6">
        <v>-0.30401595101909035</v>
      </c>
      <c r="E9" s="5"/>
      <c r="F9" s="4" t="s">
        <v>172</v>
      </c>
      <c r="G9" s="7">
        <v>-1070.51</v>
      </c>
    </row>
    <row r="10" spans="1:7" x14ac:dyDescent="0.35">
      <c r="A10" s="4" t="s">
        <v>245</v>
      </c>
      <c r="B10" s="7">
        <v>-461.44999999999993</v>
      </c>
      <c r="C10" s="33">
        <v>13</v>
      </c>
      <c r="D10" s="6">
        <v>-0.46468420204623778</v>
      </c>
      <c r="E10" s="5"/>
      <c r="F10" s="4" t="s">
        <v>152</v>
      </c>
      <c r="G10" s="7">
        <v>-91.339999999999989</v>
      </c>
    </row>
    <row r="11" spans="1:7" x14ac:dyDescent="0.35">
      <c r="A11" s="4" t="s">
        <v>255</v>
      </c>
      <c r="B11" s="7">
        <v>-210.14999999999998</v>
      </c>
      <c r="C11" s="33">
        <v>5</v>
      </c>
      <c r="D11" s="6">
        <v>-0.21162289535164563</v>
      </c>
      <c r="E11" s="5"/>
      <c r="F11" s="4" t="s">
        <v>220</v>
      </c>
      <c r="G11" s="7">
        <v>-2.8</v>
      </c>
    </row>
    <row r="12" spans="1:7" x14ac:dyDescent="0.35">
      <c r="A12" s="4" t="s">
        <v>251</v>
      </c>
      <c r="B12" s="7">
        <v>-59.67</v>
      </c>
      <c r="C12" s="33">
        <v>3</v>
      </c>
      <c r="D12" s="6">
        <v>-6.0088213969225299E-2</v>
      </c>
      <c r="E12" s="5"/>
      <c r="F12" s="4" t="s">
        <v>188</v>
      </c>
      <c r="G12" s="7">
        <v>-75</v>
      </c>
    </row>
    <row r="13" spans="1:7" x14ac:dyDescent="0.35">
      <c r="A13" s="4" t="s">
        <v>254</v>
      </c>
      <c r="B13" s="7">
        <v>7065.79</v>
      </c>
      <c r="C13" s="33">
        <v>37</v>
      </c>
      <c r="D13" s="6">
        <v>7.1153125755255981</v>
      </c>
      <c r="E13" s="5"/>
      <c r="F13" s="4" t="s">
        <v>170</v>
      </c>
      <c r="G13" s="7">
        <v>1440</v>
      </c>
    </row>
    <row r="14" spans="1:7" x14ac:dyDescent="0.35">
      <c r="A14" s="4" t="s">
        <v>247</v>
      </c>
      <c r="B14" s="7">
        <v>-1239.42</v>
      </c>
      <c r="C14" s="33">
        <v>25</v>
      </c>
      <c r="D14" s="6">
        <v>-1.2481068234914903</v>
      </c>
      <c r="F14" s="4" t="s">
        <v>181</v>
      </c>
      <c r="G14" s="7">
        <v>-102</v>
      </c>
    </row>
    <row r="15" spans="1:7" x14ac:dyDescent="0.35">
      <c r="A15" s="4" t="s">
        <v>257</v>
      </c>
      <c r="B15" s="7">
        <v>-377.2700000000001</v>
      </c>
      <c r="C15" s="33">
        <v>23</v>
      </c>
      <c r="D15" s="6">
        <v>-0.37991420285184574</v>
      </c>
      <c r="F15" s="4" t="s">
        <v>243</v>
      </c>
      <c r="G15" s="7">
        <v>-3.06</v>
      </c>
    </row>
    <row r="16" spans="1:7" x14ac:dyDescent="0.35">
      <c r="A16" s="4" t="s">
        <v>253</v>
      </c>
      <c r="B16" s="7">
        <v>-259.24</v>
      </c>
      <c r="C16" s="33">
        <v>7</v>
      </c>
      <c r="D16" s="6">
        <v>-0.26105695641665772</v>
      </c>
      <c r="F16" s="4" t="s">
        <v>222</v>
      </c>
      <c r="G16" s="7">
        <v>-210.14999999999998</v>
      </c>
    </row>
    <row r="17" spans="1:7" x14ac:dyDescent="0.35">
      <c r="A17" s="4" t="s">
        <v>246</v>
      </c>
      <c r="B17" s="7">
        <v>-77.8</v>
      </c>
      <c r="C17" s="33">
        <v>4</v>
      </c>
      <c r="D17" s="6">
        <v>-7.8345283170868571E-2</v>
      </c>
      <c r="F17" s="4" t="s">
        <v>235</v>
      </c>
      <c r="G17" s="7">
        <v>-301.90000000000003</v>
      </c>
    </row>
    <row r="18" spans="1:7" x14ac:dyDescent="0.35">
      <c r="A18" s="4" t="s">
        <v>260</v>
      </c>
      <c r="B18" s="7">
        <v>-458</v>
      </c>
      <c r="C18" s="33">
        <v>6</v>
      </c>
      <c r="D18" s="6">
        <v>-0.4612100217513857</v>
      </c>
      <c r="F18" s="4" t="s">
        <v>169</v>
      </c>
      <c r="G18" s="7">
        <v>-49.99</v>
      </c>
    </row>
    <row r="19" spans="1:7" x14ac:dyDescent="0.35">
      <c r="A19" s="4" t="s">
        <v>248</v>
      </c>
      <c r="B19" s="7">
        <v>-1691.8</v>
      </c>
      <c r="C19" s="33">
        <v>24</v>
      </c>
      <c r="D19" s="6">
        <v>-1.7036574558930009</v>
      </c>
      <c r="F19" s="4" t="s">
        <v>236</v>
      </c>
      <c r="G19" s="7">
        <v>-23.05</v>
      </c>
    </row>
    <row r="20" spans="1:7" x14ac:dyDescent="0.35">
      <c r="A20" s="4" t="s">
        <v>264</v>
      </c>
      <c r="B20" s="7">
        <v>993.04000000000849</v>
      </c>
      <c r="C20" s="33">
        <v>219</v>
      </c>
      <c r="D20" s="6">
        <v>1</v>
      </c>
      <c r="F20" s="4" t="s">
        <v>174</v>
      </c>
      <c r="G20" s="7">
        <v>-14.99</v>
      </c>
    </row>
    <row r="21" spans="1:7" x14ac:dyDescent="0.35">
      <c r="F21" s="4" t="s">
        <v>190</v>
      </c>
      <c r="G21" s="7">
        <v>-636.98</v>
      </c>
    </row>
    <row r="22" spans="1:7" x14ac:dyDescent="0.35">
      <c r="F22" s="4" t="s">
        <v>239</v>
      </c>
      <c r="G22" s="7">
        <v>-16.989999999999998</v>
      </c>
    </row>
    <row r="23" spans="1:7" x14ac:dyDescent="0.35">
      <c r="F23" s="4" t="s">
        <v>219</v>
      </c>
      <c r="G23" s="7">
        <v>-20.399999999999999</v>
      </c>
    </row>
    <row r="24" spans="1:7" x14ac:dyDescent="0.35">
      <c r="F24" s="4" t="s">
        <v>228</v>
      </c>
      <c r="G24" s="7">
        <v>2802</v>
      </c>
    </row>
    <row r="25" spans="1:7" x14ac:dyDescent="0.35">
      <c r="F25" s="4" t="s">
        <v>187</v>
      </c>
      <c r="G25" s="7">
        <v>1193.3499999999999</v>
      </c>
    </row>
    <row r="26" spans="1:7" x14ac:dyDescent="0.35">
      <c r="F26" s="4" t="s">
        <v>160</v>
      </c>
      <c r="G26" s="7">
        <v>555.70000000000005</v>
      </c>
    </row>
    <row r="27" spans="1:7" x14ac:dyDescent="0.35">
      <c r="F27" s="4" t="s">
        <v>195</v>
      </c>
      <c r="G27" s="7">
        <v>104.36</v>
      </c>
    </row>
    <row r="28" spans="1:7" x14ac:dyDescent="0.35">
      <c r="F28" s="4" t="s">
        <v>164</v>
      </c>
      <c r="G28" s="7">
        <v>8.06</v>
      </c>
    </row>
    <row r="29" spans="1:7" x14ac:dyDescent="0.35">
      <c r="F29" s="4" t="s">
        <v>162</v>
      </c>
      <c r="G29" s="7">
        <v>2.0499999999999998</v>
      </c>
    </row>
    <row r="30" spans="1:7" x14ac:dyDescent="0.35">
      <c r="F30" s="4" t="s">
        <v>185</v>
      </c>
      <c r="G30" s="7">
        <v>-51</v>
      </c>
    </row>
    <row r="31" spans="1:7" x14ac:dyDescent="0.35">
      <c r="F31" s="4" t="s">
        <v>194</v>
      </c>
      <c r="G31" s="7">
        <v>-470.2</v>
      </c>
    </row>
    <row r="32" spans="1:7" x14ac:dyDescent="0.35">
      <c r="F32" s="4" t="s">
        <v>192</v>
      </c>
      <c r="G32" s="7">
        <v>-63.65</v>
      </c>
    </row>
    <row r="33" spans="6:7" x14ac:dyDescent="0.35">
      <c r="F33" s="4" t="s">
        <v>238</v>
      </c>
      <c r="G33" s="7">
        <v>-260</v>
      </c>
    </row>
    <row r="34" spans="6:7" x14ac:dyDescent="0.35">
      <c r="F34" s="4" t="s">
        <v>184</v>
      </c>
      <c r="G34" s="7">
        <v>-79.95</v>
      </c>
    </row>
    <row r="35" spans="6:7" x14ac:dyDescent="0.35">
      <c r="F35" s="4" t="s">
        <v>218</v>
      </c>
      <c r="G35" s="7">
        <v>-14.600000000000001</v>
      </c>
    </row>
    <row r="36" spans="6:7" x14ac:dyDescent="0.35">
      <c r="F36" s="4" t="s">
        <v>155</v>
      </c>
      <c r="G36" s="7">
        <v>-17.93</v>
      </c>
    </row>
    <row r="37" spans="6:7" x14ac:dyDescent="0.35">
      <c r="F37" s="4" t="s">
        <v>153</v>
      </c>
      <c r="G37" s="7">
        <v>-54.14</v>
      </c>
    </row>
    <row r="38" spans="6:7" x14ac:dyDescent="0.35">
      <c r="F38" s="4" t="s">
        <v>177</v>
      </c>
      <c r="G38" s="7">
        <v>-22.99</v>
      </c>
    </row>
    <row r="39" spans="6:7" x14ac:dyDescent="0.35">
      <c r="F39" s="4" t="s">
        <v>227</v>
      </c>
      <c r="G39" s="7">
        <v>-18.989999999999998</v>
      </c>
    </row>
    <row r="40" spans="6:7" x14ac:dyDescent="0.35">
      <c r="F40" s="4" t="s">
        <v>197</v>
      </c>
      <c r="G40" s="7">
        <v>-16</v>
      </c>
    </row>
    <row r="41" spans="6:7" x14ac:dyDescent="0.35">
      <c r="F41" s="4" t="s">
        <v>150</v>
      </c>
      <c r="G41" s="7">
        <v>-145.94999999999999</v>
      </c>
    </row>
    <row r="42" spans="6:7" x14ac:dyDescent="0.35">
      <c r="F42" s="4" t="s">
        <v>179</v>
      </c>
      <c r="G42" s="7">
        <v>-27.99</v>
      </c>
    </row>
    <row r="43" spans="6:7" x14ac:dyDescent="0.35">
      <c r="F43" s="4" t="s">
        <v>237</v>
      </c>
      <c r="G43" s="7">
        <v>-26.14</v>
      </c>
    </row>
    <row r="44" spans="6:7" x14ac:dyDescent="0.35">
      <c r="F44" s="4" t="s">
        <v>168</v>
      </c>
      <c r="G44" s="7">
        <v>-47</v>
      </c>
    </row>
    <row r="45" spans="6:7" x14ac:dyDescent="0.35">
      <c r="F45" s="4" t="s">
        <v>232</v>
      </c>
      <c r="G45" s="7">
        <v>-55.08</v>
      </c>
    </row>
    <row r="46" spans="6:7" x14ac:dyDescent="0.35">
      <c r="F46" s="4" t="s">
        <v>229</v>
      </c>
      <c r="G46" s="7">
        <v>-135.84</v>
      </c>
    </row>
    <row r="47" spans="6:7" x14ac:dyDescent="0.35">
      <c r="F47" s="4" t="s">
        <v>167</v>
      </c>
      <c r="G47" s="7">
        <v>-5.25</v>
      </c>
    </row>
    <row r="48" spans="6:7" x14ac:dyDescent="0.35">
      <c r="F48" s="4" t="s">
        <v>189</v>
      </c>
      <c r="G48" s="7">
        <v>-350.54999999999995</v>
      </c>
    </row>
    <row r="49" spans="6:7" x14ac:dyDescent="0.35">
      <c r="F49" s="4" t="s">
        <v>230</v>
      </c>
      <c r="G49" s="7">
        <v>-10.83</v>
      </c>
    </row>
    <row r="50" spans="6:7" x14ac:dyDescent="0.35">
      <c r="F50" s="4" t="s">
        <v>176</v>
      </c>
      <c r="G50" s="7">
        <v>-31</v>
      </c>
    </row>
    <row r="51" spans="6:7" x14ac:dyDescent="0.35">
      <c r="F51" s="4" t="s">
        <v>173</v>
      </c>
      <c r="G51" s="7">
        <v>-170</v>
      </c>
    </row>
    <row r="52" spans="6:7" x14ac:dyDescent="0.35">
      <c r="F52" s="4" t="s">
        <v>166</v>
      </c>
      <c r="G52" s="7">
        <v>-58.24</v>
      </c>
    </row>
    <row r="53" spans="6:7" x14ac:dyDescent="0.35">
      <c r="F53" s="4" t="s">
        <v>225</v>
      </c>
      <c r="G53" s="7">
        <v>-41</v>
      </c>
    </row>
    <row r="54" spans="6:7" x14ac:dyDescent="0.35">
      <c r="F54" s="4" t="s">
        <v>158</v>
      </c>
      <c r="G54" s="7">
        <v>-27.24</v>
      </c>
    </row>
    <row r="55" spans="6:7" x14ac:dyDescent="0.35">
      <c r="F55" s="4" t="s">
        <v>157</v>
      </c>
      <c r="G55" s="7">
        <v>-10.3</v>
      </c>
    </row>
    <row r="56" spans="6:7" x14ac:dyDescent="0.35">
      <c r="F56" s="4" t="s">
        <v>171</v>
      </c>
      <c r="G56" s="7">
        <v>-149.99</v>
      </c>
    </row>
    <row r="57" spans="6:7" x14ac:dyDescent="0.35">
      <c r="F57" s="4" t="s">
        <v>159</v>
      </c>
      <c r="G57" s="7">
        <v>-10</v>
      </c>
    </row>
    <row r="58" spans="6:7" x14ac:dyDescent="0.35">
      <c r="F58" s="4" t="s">
        <v>191</v>
      </c>
      <c r="G58" s="7">
        <v>-48</v>
      </c>
    </row>
    <row r="59" spans="6:7" x14ac:dyDescent="0.35">
      <c r="F59" s="4" t="s">
        <v>154</v>
      </c>
      <c r="G59" s="7">
        <v>-18.899999999999999</v>
      </c>
    </row>
    <row r="60" spans="6:7" x14ac:dyDescent="0.35">
      <c r="F60" s="4" t="s">
        <v>180</v>
      </c>
      <c r="G60" s="7">
        <v>-170.57</v>
      </c>
    </row>
    <row r="61" spans="6:7" x14ac:dyDescent="0.35">
      <c r="F61" s="4" t="s">
        <v>234</v>
      </c>
      <c r="G61" s="7">
        <v>-59.67</v>
      </c>
    </row>
    <row r="62" spans="6:7" x14ac:dyDescent="0.35">
      <c r="F62" s="4" t="s">
        <v>151</v>
      </c>
      <c r="G62" s="7">
        <v>-113.42999999999998</v>
      </c>
    </row>
    <row r="63" spans="6:7" x14ac:dyDescent="0.35">
      <c r="F63" s="4" t="s">
        <v>223</v>
      </c>
      <c r="G63" s="7">
        <v>-137.69999999999999</v>
      </c>
    </row>
    <row r="64" spans="6:7" x14ac:dyDescent="0.35">
      <c r="F64" s="4" t="s">
        <v>182</v>
      </c>
      <c r="G64" s="7">
        <v>-35.99</v>
      </c>
    </row>
    <row r="65" spans="6:7" x14ac:dyDescent="0.35">
      <c r="F65" s="4" t="s">
        <v>217</v>
      </c>
      <c r="G65" s="7">
        <v>1021.3800000000001</v>
      </c>
    </row>
    <row r="66" spans="6:7" x14ac:dyDescent="0.35">
      <c r="F66" s="4" t="s">
        <v>240</v>
      </c>
      <c r="G66" s="7">
        <v>-25.6</v>
      </c>
    </row>
    <row r="67" spans="6:7" x14ac:dyDescent="0.35">
      <c r="F67" s="4" t="s">
        <v>161</v>
      </c>
      <c r="G67" s="7">
        <v>-2.0699999999999998</v>
      </c>
    </row>
    <row r="68" spans="6:7" x14ac:dyDescent="0.35">
      <c r="F68" s="4" t="s">
        <v>226</v>
      </c>
      <c r="G68" s="7">
        <v>-13</v>
      </c>
    </row>
    <row r="69" spans="6:7" x14ac:dyDescent="0.35">
      <c r="F69" s="4" t="s">
        <v>175</v>
      </c>
      <c r="G69" s="7">
        <v>-57.38</v>
      </c>
    </row>
    <row r="70" spans="6:7" x14ac:dyDescent="0.35">
      <c r="F70" s="4" t="s">
        <v>224</v>
      </c>
      <c r="G70" s="7">
        <v>-14</v>
      </c>
    </row>
    <row r="71" spans="6:7" x14ac:dyDescent="0.35">
      <c r="F71" s="4" t="s">
        <v>193</v>
      </c>
      <c r="G71" s="7">
        <v>-5</v>
      </c>
    </row>
    <row r="72" spans="6:7" x14ac:dyDescent="0.35">
      <c r="F72" s="4" t="s">
        <v>178</v>
      </c>
      <c r="G72" s="7">
        <v>-10.28</v>
      </c>
    </row>
    <row r="73" spans="6:7" x14ac:dyDescent="0.35">
      <c r="F73" s="4" t="s">
        <v>214</v>
      </c>
      <c r="G73" s="7">
        <v>-35.520000000000003</v>
      </c>
    </row>
    <row r="74" spans="6:7" x14ac:dyDescent="0.35">
      <c r="F74" s="4" t="s">
        <v>196</v>
      </c>
      <c r="G74" s="7">
        <v>-79.58</v>
      </c>
    </row>
    <row r="75" spans="6:7" x14ac:dyDescent="0.35">
      <c r="F75" s="4" t="s">
        <v>163</v>
      </c>
      <c r="G75" s="7">
        <v>-106.94</v>
      </c>
    </row>
    <row r="76" spans="6:7" x14ac:dyDescent="0.35">
      <c r="F76" s="4" t="s">
        <v>156</v>
      </c>
      <c r="G76" s="7">
        <v>-20.49</v>
      </c>
    </row>
    <row r="77" spans="6:7" x14ac:dyDescent="0.35">
      <c r="F77" s="4" t="s">
        <v>242</v>
      </c>
      <c r="G77" s="7">
        <v>-17</v>
      </c>
    </row>
    <row r="78" spans="6:7" x14ac:dyDescent="0.35">
      <c r="F78" s="4" t="s">
        <v>264</v>
      </c>
      <c r="G78" s="7">
        <v>993.04000000000201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9B19-DC85-4EAD-AD8E-81523A037E0D}">
  <dimension ref="A1:F12"/>
  <sheetViews>
    <sheetView workbookViewId="0">
      <selection activeCell="H8" sqref="H8"/>
    </sheetView>
  </sheetViews>
  <sheetFormatPr defaultRowHeight="14.5" x14ac:dyDescent="0.35"/>
  <cols>
    <col min="2" max="4" width="8.90625" bestFit="1" customWidth="1"/>
    <col min="5" max="5" width="17.81640625" bestFit="1" customWidth="1"/>
    <col min="6" max="6" width="19.54296875" bestFit="1" customWidth="1"/>
  </cols>
  <sheetData>
    <row r="1" spans="1:6" x14ac:dyDescent="0.35">
      <c r="A1" t="s">
        <v>199</v>
      </c>
      <c r="B1" s="15" t="s">
        <v>200</v>
      </c>
      <c r="C1" s="15" t="s">
        <v>201</v>
      </c>
      <c r="D1" s="15" t="s">
        <v>202</v>
      </c>
      <c r="E1" s="8" t="s">
        <v>261</v>
      </c>
      <c r="F1" s="8" t="s">
        <v>262</v>
      </c>
    </row>
    <row r="2" spans="1:6" x14ac:dyDescent="0.35">
      <c r="A2" t="s">
        <v>203</v>
      </c>
      <c r="B2" s="15">
        <f>SUMIFS('Personal spending'!I:I,'Personal spending'!J:J,"In",'Personal spending'!B:B,Table2[[#This Row],[Month-year]])</f>
        <v>1295.56</v>
      </c>
      <c r="C2" s="15">
        <f>-SUMIFS('Personal spending'!I:I,'Personal spending'!J:J,"out",'Personal spending'!B:B,Table2[[#This Row],[Month-year]])</f>
        <v>1442.3000000000006</v>
      </c>
      <c r="D2" s="15">
        <f>Table2[[#This Row],[income]]+Table2[[#This Row],[spending]]</f>
        <v>2737.8600000000006</v>
      </c>
      <c r="E2" s="8"/>
      <c r="F2" s="8"/>
    </row>
    <row r="3" spans="1:6" x14ac:dyDescent="0.35">
      <c r="A3" t="s">
        <v>204</v>
      </c>
      <c r="B3" s="15">
        <f>SUMIFS('Personal spending'!I:I,'Personal spending'!J:J,"In",'Personal spending'!B:B,Table2[[#This Row],[Month-year]])</f>
        <v>949.17</v>
      </c>
      <c r="C3" s="15">
        <f>-SUMIFS('Personal spending'!I:I,'Personal spending'!J:J,"out",'Personal spending'!B:B,Table2[[#This Row],[Month-year]])</f>
        <v>829.99</v>
      </c>
      <c r="D3" s="15">
        <f>Table2[[#This Row],[income]]+Table2[[#This Row],[spending]]</f>
        <v>1779.1599999999999</v>
      </c>
      <c r="E3" s="8"/>
      <c r="F3" s="8"/>
    </row>
    <row r="4" spans="1:6" x14ac:dyDescent="0.35">
      <c r="A4" t="s">
        <v>205</v>
      </c>
      <c r="B4" s="15">
        <f>SUMIFS('Personal spending'!I:I,'Personal spending'!J:J,"In",'Personal spending'!B:B,Table2[[#This Row],[Month-year]])</f>
        <v>130</v>
      </c>
      <c r="C4" s="15">
        <f>-SUMIFS('Personal spending'!I:I,'Personal spending'!J:J,"out",'Personal spending'!B:B,Table2[[#This Row],[Month-year]])</f>
        <v>361.35</v>
      </c>
      <c r="D4" s="15">
        <f>Table2[[#This Row],[income]]+Table2[[#This Row],[spending]]</f>
        <v>491.35</v>
      </c>
      <c r="E4" s="8"/>
      <c r="F4" s="8"/>
    </row>
    <row r="5" spans="1:6" x14ac:dyDescent="0.35">
      <c r="A5" t="s">
        <v>206</v>
      </c>
      <c r="B5" s="15">
        <f>SUMIFS('Personal spending'!I:I,'Personal spending'!J:J,"In",'Personal spending'!B:B,Table2[[#This Row],[Month-year]])</f>
        <v>430</v>
      </c>
      <c r="C5" s="15">
        <f>-SUMIFS('Personal spending'!I:I,'Personal spending'!J:J,"out",'Personal spending'!B:B,Table2[[#This Row],[Month-year]])</f>
        <v>398.45000000000005</v>
      </c>
      <c r="D5" s="15">
        <f>Table2[[#This Row],[income]]+Table2[[#This Row],[spending]]</f>
        <v>828.45</v>
      </c>
      <c r="E5" s="8"/>
      <c r="F5" s="8"/>
    </row>
    <row r="6" spans="1:6" x14ac:dyDescent="0.35">
      <c r="A6" t="s">
        <v>207</v>
      </c>
      <c r="B6" s="15">
        <f>SUMIFS('Personal spending'!I:I,'Personal spending'!J:J,"In",'Personal spending'!B:B,Table2[[#This Row],[Month-year]])</f>
        <v>150</v>
      </c>
      <c r="C6" s="15">
        <f>-SUMIFS('Personal spending'!I:I,'Personal spending'!J:J,"out",'Personal spending'!B:B,Table2[[#This Row],[Month-year]])</f>
        <v>260.35999999999996</v>
      </c>
      <c r="D6" s="15">
        <f>Table2[[#This Row],[income]]+Table2[[#This Row],[spending]]</f>
        <v>410.35999999999996</v>
      </c>
      <c r="E6" s="8"/>
      <c r="F6" s="8"/>
    </row>
    <row r="7" spans="1:6" x14ac:dyDescent="0.35">
      <c r="A7" t="s">
        <v>208</v>
      </c>
      <c r="B7" s="15">
        <f>SUMIFS('Personal spending'!I:I,'Personal spending'!J:J,"In",'Personal spending'!B:B,Table2[[#This Row],[Month-year]])</f>
        <v>685.7</v>
      </c>
      <c r="C7" s="15">
        <f>-SUMIFS('Personal spending'!I:I,'Personal spending'!J:J,"out",'Personal spending'!B:B,Table2[[#This Row],[Month-year]])</f>
        <v>522.12999999999988</v>
      </c>
      <c r="D7" s="15">
        <f>Table2[[#This Row],[income]]+Table2[[#This Row],[spending]]</f>
        <v>1207.83</v>
      </c>
      <c r="E7" s="8"/>
      <c r="F7" s="8"/>
    </row>
    <row r="8" spans="1:6" x14ac:dyDescent="0.35">
      <c r="A8" t="s">
        <v>209</v>
      </c>
      <c r="B8" s="15">
        <f>SUMIFS('Personal spending'!I:I,'Personal spending'!J:J,"In",'Personal spending'!B:B,Table2[[#This Row],[Month-year]])</f>
        <v>677.05</v>
      </c>
      <c r="C8" s="15">
        <f>-SUMIFS('Personal spending'!I:I,'Personal spending'!J:J,"out",'Personal spending'!B:B,Table2[[#This Row],[Month-year]])</f>
        <v>182.69</v>
      </c>
      <c r="D8" s="15">
        <f>Table2[[#This Row],[income]]+Table2[[#This Row],[spending]]</f>
        <v>859.74</v>
      </c>
      <c r="E8" s="8"/>
      <c r="F8" s="8"/>
    </row>
    <row r="9" spans="1:6" x14ac:dyDescent="0.35">
      <c r="A9" t="s">
        <v>210</v>
      </c>
      <c r="B9" s="15">
        <f>SUMIFS('Personal spending'!I:I,'Personal spending'!J:J,"In",'Personal spending'!B:B,Table2[[#This Row],[Month-year]])</f>
        <v>527.5</v>
      </c>
      <c r="C9" s="15">
        <f>-SUMIFS('Personal spending'!I:I,'Personal spending'!J:J,"out",'Personal spending'!B:B,Table2[[#This Row],[Month-year]])</f>
        <v>865.08</v>
      </c>
      <c r="D9" s="15">
        <f>Table2[[#This Row],[income]]+Table2[[#This Row],[spending]]</f>
        <v>1392.58</v>
      </c>
      <c r="E9" s="8"/>
      <c r="F9" s="8"/>
    </row>
    <row r="10" spans="1:6" x14ac:dyDescent="0.35">
      <c r="A10" t="s">
        <v>211</v>
      </c>
      <c r="B10" s="15">
        <f>SUMIFS('Personal spending'!I:I,'Personal spending'!J:J,"In",'Personal spending'!B:B,Table2[[#This Row],[Month-year]])</f>
        <v>1156.8600000000001</v>
      </c>
      <c r="C10" s="15">
        <f>-SUMIFS('Personal spending'!I:I,'Personal spending'!J:J,"out",'Personal spending'!B:B,Table2[[#This Row],[Month-year]])</f>
        <v>343.42</v>
      </c>
      <c r="D10" s="15">
        <f>Table2[[#This Row],[income]]+Table2[[#This Row],[spending]]</f>
        <v>1500.2800000000002</v>
      </c>
      <c r="E10" s="8"/>
      <c r="F10" s="8"/>
    </row>
    <row r="11" spans="1:6" x14ac:dyDescent="0.35">
      <c r="A11" t="s">
        <v>212</v>
      </c>
      <c r="B11" s="15">
        <f>SUMIFS('Personal spending'!I:I,'Personal spending'!J:J,"In",'Personal spending'!B:B,Table2[[#This Row],[Month-year]])</f>
        <v>1117</v>
      </c>
      <c r="C11" s="15">
        <f>-SUMIFS('Personal spending'!I:I,'Personal spending'!J:J,"out",'Personal spending'!B:B,Table2[[#This Row],[Month-year]])</f>
        <v>730.3900000000001</v>
      </c>
      <c r="D11" s="15">
        <f>Table2[[#This Row],[income]]+Table2[[#This Row],[spending]]</f>
        <v>1847.39</v>
      </c>
      <c r="E11" s="8"/>
      <c r="F11" s="8"/>
    </row>
    <row r="12" spans="1:6" x14ac:dyDescent="0.35">
      <c r="A12" t="s">
        <v>213</v>
      </c>
      <c r="B12" s="15">
        <f>SUMIFS('Personal spending'!I:I,'Personal spending'!J:J,"In",'Personal spending'!B:B,Table2[[#This Row],[Month-year]])</f>
        <v>8.06</v>
      </c>
      <c r="C12" s="15">
        <f>-SUMIFS('Personal spending'!I:I,'Personal spending'!J:J,"out",'Personal spending'!B:B,Table2[[#This Row],[Month-year]])</f>
        <v>197.7</v>
      </c>
      <c r="D12" s="15">
        <f>Table2[[#This Row],[income]]+Table2[[#This Row],[spending]]</f>
        <v>205.76</v>
      </c>
      <c r="E12" s="8"/>
      <c r="F12" s="8"/>
    </row>
  </sheetData>
  <phoneticPr fontId="1" type="noConversion"/>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97651564-882B-48BC-9104-192150B5EA14}">
          <x14:colorSeries rgb="FF376092"/>
          <x14:colorNegative rgb="FFD00000"/>
          <x14:colorAxis rgb="FF000000"/>
          <x14:colorMarkers rgb="FFD00000"/>
          <x14:colorFirst rgb="FFD00000"/>
          <x14:colorLast rgb="FFD00000"/>
          <x14:colorHigh rgb="FFD00000"/>
          <x14:colorLow rgb="FFD00000"/>
          <x14:sparklines>
            <x14:sparkline>
              <xm:f>'Income Sparklines'!B2:B12</xm:f>
              <xm:sqref>E2</xm:sqref>
            </x14:sparkline>
          </x14:sparklines>
        </x14:sparklineGroup>
        <x14:sparklineGroup displayEmptyCellsAs="gap" xr2:uid="{448DB124-E604-4871-880A-567239401A1E}">
          <x14:colorSeries rgb="FF376092"/>
          <x14:colorNegative rgb="FFD00000"/>
          <x14:colorAxis rgb="FF000000"/>
          <x14:colorMarkers rgb="FFD00000"/>
          <x14:colorFirst rgb="FFD00000"/>
          <x14:colorLast rgb="FFD00000"/>
          <x14:colorHigh rgb="FFD00000"/>
          <x14:colorLow rgb="FFD00000"/>
          <x14:sparklines>
            <x14:sparkline>
              <xm:f>'Income Sparklines'!C2:C12</xm:f>
              <xm:sqref>F2</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AE98-A561-4137-8818-7C6168B4DDFD}">
  <dimension ref="A1:I7"/>
  <sheetViews>
    <sheetView showGridLines="0" tabSelected="1" topLeftCell="A5" workbookViewId="0">
      <selection activeCell="E16" sqref="E16"/>
    </sheetView>
  </sheetViews>
  <sheetFormatPr defaultRowHeight="14.5" x14ac:dyDescent="0.35"/>
  <cols>
    <col min="1" max="2" width="20.6328125" customWidth="1"/>
    <col min="3" max="3" width="9.26953125" customWidth="1"/>
    <col min="4" max="5" width="20.6328125" customWidth="1"/>
    <col min="6" max="6" width="10.08984375" customWidth="1"/>
    <col min="7" max="8" width="20.6328125" customWidth="1"/>
    <col min="9" max="9" width="1.54296875" customWidth="1"/>
  </cols>
  <sheetData>
    <row r="1" spans="1:9" ht="31" customHeight="1" x14ac:dyDescent="0.45">
      <c r="A1" s="32" t="s">
        <v>271</v>
      </c>
      <c r="B1" s="32"/>
      <c r="C1" s="32"/>
      <c r="D1" s="32"/>
      <c r="E1" s="32"/>
      <c r="F1" s="32"/>
      <c r="G1" s="32"/>
      <c r="H1" s="32"/>
    </row>
    <row r="2" spans="1:9" ht="15" thickBot="1" x14ac:dyDescent="0.4"/>
    <row r="3" spans="1:9" x14ac:dyDescent="0.35">
      <c r="A3" s="20" t="s">
        <v>272</v>
      </c>
      <c r="B3" s="21"/>
      <c r="C3" s="22"/>
      <c r="D3" s="26" t="s">
        <v>273</v>
      </c>
      <c r="E3" s="27"/>
      <c r="F3" s="28"/>
      <c r="G3" s="29" t="s">
        <v>274</v>
      </c>
      <c r="H3" s="30"/>
      <c r="I3" s="31"/>
    </row>
    <row r="4" spans="1:9" x14ac:dyDescent="0.35">
      <c r="A4" s="23">
        <f>SUMIFS('Personal spending'!I:I,'Personal spending'!J:J,"In")</f>
        <v>7126.9000000000005</v>
      </c>
      <c r="B4" s="24"/>
      <c r="C4" s="25"/>
      <c r="D4" s="23">
        <f>-SUMIFS('Personal spending'!I:I,'Personal spending'!J:J,"out")</f>
        <v>6133.8599999999951</v>
      </c>
      <c r="E4" s="24"/>
      <c r="F4" s="25"/>
      <c r="G4" s="23">
        <f>A4-D4</f>
        <v>993.04000000000542</v>
      </c>
      <c r="H4" s="24"/>
      <c r="I4" s="25"/>
    </row>
    <row r="5" spans="1:9" x14ac:dyDescent="0.35">
      <c r="A5" s="23"/>
      <c r="B5" s="24"/>
      <c r="C5" s="25"/>
      <c r="D5" s="23"/>
      <c r="E5" s="24"/>
      <c r="F5" s="25"/>
      <c r="G5" s="23"/>
      <c r="H5" s="24"/>
      <c r="I5" s="25"/>
    </row>
    <row r="6" spans="1:9" x14ac:dyDescent="0.35">
      <c r="A6" s="9"/>
      <c r="C6" s="10"/>
      <c r="D6" s="9"/>
      <c r="F6" s="10"/>
      <c r="G6" s="9"/>
      <c r="I6" s="10"/>
    </row>
    <row r="7" spans="1:9" ht="15" thickBot="1" x14ac:dyDescent="0.4">
      <c r="A7" s="17"/>
      <c r="B7" s="18"/>
      <c r="C7" s="19"/>
      <c r="D7" s="11"/>
      <c r="E7" s="12"/>
      <c r="F7" s="13"/>
      <c r="G7" s="11"/>
      <c r="H7" s="12"/>
      <c r="I7" s="13"/>
    </row>
  </sheetData>
  <mergeCells count="7">
    <mergeCell ref="A1:H1"/>
    <mergeCell ref="A3:C3"/>
    <mergeCell ref="A4:C5"/>
    <mergeCell ref="D3:F3"/>
    <mergeCell ref="D4:F5"/>
    <mergeCell ref="G3:I3"/>
    <mergeCell ref="G4:I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025461-DC6F-4AC0-A653-9CAD3ED3BF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Personal spending</vt:lpstr>
      <vt:lpstr>Category by month Year</vt:lpstr>
      <vt:lpstr>MerchantMapping</vt:lpstr>
      <vt:lpstr>Pivot Tables</vt:lpstr>
      <vt:lpstr>Income Sparklines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Rawat</dc:creator>
  <cp:lastModifiedBy>Pankaj Rawat</cp:lastModifiedBy>
  <dcterms:created xsi:type="dcterms:W3CDTF">2025-11-04T00:32:40Z</dcterms:created>
  <dcterms:modified xsi:type="dcterms:W3CDTF">2025-11-25T01:49:27Z</dcterms:modified>
</cp:coreProperties>
</file>